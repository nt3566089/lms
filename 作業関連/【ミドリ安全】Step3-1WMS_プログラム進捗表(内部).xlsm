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D:\HDIS\2024\midori_security\1.進捗管理\"/>
    </mc:Choice>
  </mc:AlternateContent>
  <xr:revisionPtr revIDLastSave="0" documentId="13_ncr:1_{8C80EF9A-0119-4AD9-B2DA-6F9F0506CA33}" xr6:coauthVersionLast="47" xr6:coauthVersionMax="47" xr10:uidLastSave="{00000000-0000-0000-0000-000000000000}"/>
  <bookViews>
    <workbookView xWindow="-120" yWindow="-120" windowWidth="29040" windowHeight="17640" tabRatio="605" xr2:uid="{00000000-000D-0000-FFFF-FFFF00000000}"/>
  </bookViews>
  <sheets>
    <sheet name="プログラム進捗表" sheetId="1" r:id="rId1"/>
    <sheet name="使用の手引き" sheetId="5" r:id="rId2"/>
    <sheet name="データ" sheetId="2" state="hidden" r:id="rId3"/>
    <sheet name="管理" sheetId="3" state="hidden" r:id="rId4"/>
  </sheets>
  <definedNames>
    <definedName name="_xlnm._FilterDatabase" localSheetId="0" hidden="1">プログラム進捗表!$A$8:$CF$30</definedName>
    <definedName name="DO確認者">プログラム進捗表!$BO$1</definedName>
    <definedName name="DO確認日">プログラム進捗表!$BN$1</definedName>
    <definedName name="DO完了STS">プログラム進捗表!$BF$1</definedName>
    <definedName name="DO現在進捗">プログラム進捗表!$BD$1</definedName>
    <definedName name="DO工数">プログラム進捗表!$AZ$1</definedName>
    <definedName name="DO実績開始日">プログラム進捗表!$AW$1</definedName>
    <definedName name="DO実績終了日">プログラム進捗表!$AX$1</definedName>
    <definedName name="DO担当者">プログラム進捗表!$AY$1</definedName>
    <definedName name="DO予定開始日">プログラム進捗表!$AU$1</definedName>
    <definedName name="DO予定終了日">プログラム進捗表!$AV$1</definedName>
    <definedName name="JJPCLインタフェース">プログラム進捗表!$CD$1</definedName>
    <definedName name="JJPCL異常例外">プログラム進捗表!$CB$1</definedName>
    <definedName name="JJPCL限界境界">プログラム進捗表!$CC$1</definedName>
    <definedName name="JJPCL合計">プログラム進捗表!$CE$1</definedName>
    <definedName name="JJPCL正常">プログラム進捗表!$CA$1</definedName>
    <definedName name="JKPCLインタフェース">プログラム進捗表!$BY$1</definedName>
    <definedName name="JKPCL異常例外">プログラム進捗表!$BW$1</definedName>
    <definedName name="JKPCL限界境界">プログラム進捗表!$BX$1</definedName>
    <definedName name="JKPCL合計">プログラム進捗表!$BZ$1</definedName>
    <definedName name="JKPCL正常">プログラム進捗表!$BV$1</definedName>
    <definedName name="MKPCLインタフェース">プログラム進捗表!$BT$1</definedName>
    <definedName name="MKPCL異常例外">プログラム進捗表!$BR$1</definedName>
    <definedName name="MKPCL限界境界">プログラム進捗表!$BS$1</definedName>
    <definedName name="MKPCL合計">プログラム進捗表!$BU$1</definedName>
    <definedName name="MKPCL正常">プログラム進捗表!$BQ$1</definedName>
    <definedName name="PLAN確認者">プログラム進捗表!$AT$1</definedName>
    <definedName name="PLAN確認日">プログラム進捗表!$AS$1</definedName>
    <definedName name="PLAN完了STS">プログラム進捗表!$AI$1</definedName>
    <definedName name="PLAN現在進捗">プログラム進捗表!$AG$1</definedName>
    <definedName name="PLAN工数">プログラム進捗表!$AC$1</definedName>
    <definedName name="PLAN実績開始日">プログラム進捗表!$Z$1</definedName>
    <definedName name="PLAN実績終了日">プログラム進捗表!$AA$1</definedName>
    <definedName name="PLAN担当者">プログラム進捗表!$AB$1</definedName>
    <definedName name="PLAN予定開始日">プログラム進捗表!$X$1</definedName>
    <definedName name="PLAN予定終了日">プログラム進捗表!$Y$1</definedName>
    <definedName name="_xlnm.Print_Area" localSheetId="0">プログラム進捗表!$B$2:$CE$10</definedName>
    <definedName name="_xlnm.Print_Area" localSheetId="1">使用の手引き!$A$2:$BS$35</definedName>
    <definedName name="シート番号">プログラム進捗表!$A$2</definedName>
    <definedName name="プロジェクトCD">プログラム進捗表!$E$2</definedName>
    <definedName name="プロジェクト名">プログラム進捗表!$E$3</definedName>
    <definedName name="開始位置">プログラム進捗表!$A$8</definedName>
    <definedName name="開発規模">プログラム進捗表!$K$1</definedName>
    <definedName name="機能ID">プログラム進捗表!$E$1</definedName>
    <definedName name="機能名称">プログラム進捗表!$F$1</definedName>
    <definedName name="言語">プログラム進捗表!$G$1</definedName>
    <definedName name="工程区分">プログラム進捗表!$E$6</definedName>
    <definedName name="項番">プログラム進捗表!$B$1</definedName>
    <definedName name="作成済CL件数">プログラム進捗表!$AF$1</definedName>
    <definedName name="実績規模">プログラム進捗表!$L$1</definedName>
    <definedName name="取消">プログラム進捗表!$J$1</definedName>
    <definedName name="種別">プログラム進捗表!$H$1</definedName>
    <definedName name="終了位置">プログラム進捗表!$A$24</definedName>
    <definedName name="対象外">プログラム進捗表!$J$1</definedName>
    <definedName name="大分類">プログラム進捗表!$C$1</definedName>
    <definedName name="中分類">プログラム進捗表!$D$1</definedName>
    <definedName name="摘出バグ件数">プログラム進捗表!$BC$1</definedName>
    <definedName name="適用">プログラム進捗表!$I$1</definedName>
    <definedName name="備考">プログラム進捗表!$N$1</definedName>
    <definedName name="目標CL件数">プログラム進捗表!$AD$1</definedName>
    <definedName name="目標バグ件数">プログラム進捗表!$BA$1</definedName>
    <definedName name="優先度">プログラム進捗表!$M$1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Z22" i="1" l="1"/>
  <c r="BY22" i="1" s="1"/>
  <c r="BU22" i="1"/>
  <c r="BT22" i="1" s="1"/>
  <c r="BL22" i="1"/>
  <c r="BE22" i="1"/>
  <c r="BB22" i="1"/>
  <c r="BA22" i="1"/>
  <c r="AQ22" i="1"/>
  <c r="BZ21" i="1"/>
  <c r="BY21" i="1" s="1"/>
  <c r="BU21" i="1"/>
  <c r="BS21" i="1" s="1"/>
  <c r="BL21" i="1"/>
  <c r="BE21" i="1"/>
  <c r="BB21" i="1"/>
  <c r="BA21" i="1"/>
  <c r="BZ18" i="1"/>
  <c r="BW18" i="1" s="1"/>
  <c r="BU18" i="1"/>
  <c r="BT18" i="1" s="1"/>
  <c r="BL18" i="1"/>
  <c r="BE18" i="1"/>
  <c r="BB18" i="1"/>
  <c r="BA18" i="1"/>
  <c r="BZ17" i="1"/>
  <c r="BY17" i="1" s="1"/>
  <c r="BU17" i="1"/>
  <c r="BT17" i="1" s="1"/>
  <c r="BL17" i="1"/>
  <c r="BE17" i="1"/>
  <c r="BB17" i="1"/>
  <c r="BA17" i="1"/>
  <c r="BZ16" i="1"/>
  <c r="BY16" i="1" s="1"/>
  <c r="BU16" i="1"/>
  <c r="BT16" i="1" s="1"/>
  <c r="BL16" i="1"/>
  <c r="BE16" i="1"/>
  <c r="BB16" i="1"/>
  <c r="BA16" i="1"/>
  <c r="BZ15" i="1"/>
  <c r="BY15" i="1" s="1"/>
  <c r="BU15" i="1"/>
  <c r="BR15" i="1" s="1"/>
  <c r="BL15" i="1"/>
  <c r="BE15" i="1"/>
  <c r="BB15" i="1"/>
  <c r="BA15" i="1"/>
  <c r="BZ20" i="1"/>
  <c r="BY20" i="1" s="1"/>
  <c r="BU20" i="1"/>
  <c r="BQ20" i="1" s="1"/>
  <c r="BL20" i="1"/>
  <c r="BE20" i="1"/>
  <c r="BB20" i="1"/>
  <c r="BA20" i="1"/>
  <c r="BZ19" i="1"/>
  <c r="BY19" i="1" s="1"/>
  <c r="BU19" i="1"/>
  <c r="BS19" i="1" s="1"/>
  <c r="BL19" i="1"/>
  <c r="BE19" i="1"/>
  <c r="BB19" i="1"/>
  <c r="BA19" i="1"/>
  <c r="AQ19" i="1"/>
  <c r="BV20" i="1" l="1"/>
  <c r="BT19" i="1"/>
  <c r="BX18" i="1"/>
  <c r="BQ19" i="1"/>
  <c r="BV17" i="1"/>
  <c r="BR19" i="1"/>
  <c r="BW17" i="1"/>
  <c r="BS15" i="1"/>
  <c r="BX17" i="1"/>
  <c r="BT21" i="1"/>
  <c r="BW20" i="1"/>
  <c r="BR18" i="1"/>
  <c r="BS18" i="1"/>
  <c r="BX20" i="1"/>
  <c r="BQ22" i="1"/>
  <c r="BV16" i="1"/>
  <c r="BW19" i="1"/>
  <c r="BW16" i="1"/>
  <c r="BQ21" i="1"/>
  <c r="BR22" i="1"/>
  <c r="BX16" i="1"/>
  <c r="BR21" i="1"/>
  <c r="BS22" i="1"/>
  <c r="BV19" i="1"/>
  <c r="BX19" i="1"/>
  <c r="BQ18" i="1"/>
  <c r="BS20" i="1"/>
  <c r="BY18" i="1"/>
  <c r="BV22" i="1"/>
  <c r="BV15" i="1"/>
  <c r="BV21" i="1"/>
  <c r="BW22" i="1"/>
  <c r="BW15" i="1"/>
  <c r="BW21" i="1"/>
  <c r="BX22" i="1"/>
  <c r="BX15" i="1"/>
  <c r="BV18" i="1"/>
  <c r="BX21" i="1"/>
  <c r="BR20" i="1"/>
  <c r="BT15" i="1"/>
  <c r="BT20" i="1"/>
  <c r="BQ17" i="1"/>
  <c r="BQ15" i="1"/>
  <c r="BR16" i="1"/>
  <c r="BS17" i="1"/>
  <c r="BQ16" i="1"/>
  <c r="BR17" i="1"/>
  <c r="BS16" i="1"/>
  <c r="K24" i="1" l="1"/>
  <c r="BB13" i="1" l="1"/>
  <c r="BA13" i="1"/>
  <c r="BL13" i="1" s="1"/>
  <c r="BB12" i="1"/>
  <c r="BA12" i="1"/>
  <c r="BL12" i="1" s="1"/>
  <c r="BB11" i="1"/>
  <c r="BA11" i="1"/>
  <c r="BL11" i="1" s="1"/>
  <c r="BB10" i="1"/>
  <c r="BA10" i="1"/>
  <c r="BL10" i="1" s="1"/>
  <c r="BB9" i="1"/>
  <c r="BA9" i="1"/>
  <c r="BL9" i="1" s="1"/>
  <c r="BZ13" i="1"/>
  <c r="BY13" i="1" s="1"/>
  <c r="BU13" i="1"/>
  <c r="BQ13" i="1" s="1"/>
  <c r="BZ12" i="1"/>
  <c r="BY12" i="1" s="1"/>
  <c r="BU12" i="1"/>
  <c r="BT12" i="1" s="1"/>
  <c r="BZ11" i="1"/>
  <c r="BX11" i="1" s="1"/>
  <c r="BU11" i="1"/>
  <c r="BT11" i="1" s="1"/>
  <c r="BZ10" i="1"/>
  <c r="BY10" i="1" s="1"/>
  <c r="BU10" i="1"/>
  <c r="BT10" i="1" s="1"/>
  <c r="BZ9" i="1"/>
  <c r="BY9" i="1" s="1"/>
  <c r="BU9" i="1"/>
  <c r="BT9" i="1" s="1"/>
  <c r="BE13" i="1"/>
  <c r="BE12" i="1"/>
  <c r="BE11" i="1"/>
  <c r="BE10" i="1"/>
  <c r="BE9" i="1"/>
  <c r="BV12" i="1" l="1"/>
  <c r="BX12" i="1"/>
  <c r="BV11" i="1"/>
  <c r="BY11" i="1"/>
  <c r="BV10" i="1"/>
  <c r="BW10" i="1"/>
  <c r="BS13" i="1"/>
  <c r="BV9" i="1"/>
  <c r="BX10" i="1"/>
  <c r="BX13" i="1"/>
  <c r="BS9" i="1"/>
  <c r="BW9" i="1"/>
  <c r="BX9" i="1"/>
  <c r="BQ10" i="1"/>
  <c r="BQ11" i="1"/>
  <c r="BQ9" i="1"/>
  <c r="BR9" i="1"/>
  <c r="BR11" i="1"/>
  <c r="BS10" i="1"/>
  <c r="BS12" i="1"/>
  <c r="BR13" i="1"/>
  <c r="BS11" i="1"/>
  <c r="BT13" i="1"/>
  <c r="BQ12" i="1"/>
  <c r="BV13" i="1"/>
  <c r="BR12" i="1"/>
  <c r="BW13" i="1"/>
  <c r="BR10" i="1"/>
  <c r="BW11" i="1"/>
  <c r="BW12" i="1"/>
  <c r="BZ14" i="1" l="1"/>
  <c r="BY14" i="1" s="1"/>
  <c r="BU14" i="1"/>
  <c r="BT14" i="1" s="1"/>
  <c r="BL14" i="1"/>
  <c r="BE14" i="1"/>
  <c r="BB14" i="1"/>
  <c r="BA14" i="1"/>
  <c r="AQ14" i="1"/>
  <c r="BZ23" i="1"/>
  <c r="BV23" i="1" s="1"/>
  <c r="BU23" i="1"/>
  <c r="BS23" i="1" s="1"/>
  <c r="BL23" i="1"/>
  <c r="BA23" i="1"/>
  <c r="BB23" i="1"/>
  <c r="BE23" i="1"/>
  <c r="BQ14" i="1" l="1"/>
  <c r="BR14" i="1"/>
  <c r="BS14" i="1"/>
  <c r="BV14" i="1"/>
  <c r="BW14" i="1"/>
  <c r="BX14" i="1"/>
  <c r="BY23" i="1"/>
  <c r="BX23" i="1"/>
  <c r="BW23" i="1"/>
  <c r="BR23" i="1"/>
  <c r="BQ23" i="1"/>
  <c r="BT23" i="1"/>
  <c r="AK1" i="1" l="1"/>
  <c r="AJ1" i="1"/>
  <c r="AI1" i="1" l="1"/>
  <c r="BB24" i="1" l="1"/>
  <c r="AP1" i="1" l="1"/>
  <c r="AO1" i="1"/>
  <c r="AN1" i="1"/>
  <c r="AM1" i="1"/>
  <c r="BK1" i="1"/>
  <c r="BJ1" i="1"/>
  <c r="BI1" i="1"/>
  <c r="BH1" i="1"/>
  <c r="BG1" i="1" l="1"/>
  <c r="AL1" i="1"/>
  <c r="AF3" i="1" l="1"/>
  <c r="AQ23" i="1"/>
  <c r="AT9" i="5" l="1"/>
  <c r="AU9" i="5"/>
  <c r="AD9" i="5" l="1"/>
  <c r="AE9" i="5"/>
  <c r="AE23" i="1" l="1"/>
  <c r="AD23" i="1"/>
  <c r="BR24" i="5" l="1"/>
  <c r="BQ24" i="5"/>
  <c r="BP24" i="5"/>
  <c r="BO24" i="5"/>
  <c r="AV24" i="5"/>
  <c r="AS24" i="5"/>
  <c r="AQ24" i="5"/>
  <c r="AP24" i="5"/>
  <c r="AO24" i="5"/>
  <c r="AN24" i="5"/>
  <c r="AF24" i="5"/>
  <c r="AC24" i="5"/>
  <c r="AA24" i="5"/>
  <c r="Z24" i="5"/>
  <c r="Y24" i="5"/>
  <c r="X24" i="5"/>
  <c r="R24" i="5"/>
  <c r="Q24" i="5"/>
  <c r="P24" i="5"/>
  <c r="O24" i="5"/>
  <c r="L24" i="5"/>
  <c r="K24" i="5"/>
  <c r="A24" i="5"/>
  <c r="BS23" i="5"/>
  <c r="BN23" i="5"/>
  <c r="BK23" i="5" s="1"/>
  <c r="BI23" i="5"/>
  <c r="BE23" i="5" s="1"/>
  <c r="AZ23" i="5"/>
  <c r="AX23" i="5"/>
  <c r="AU23" i="5"/>
  <c r="AT23" i="5"/>
  <c r="AJ23" i="5"/>
  <c r="AH23" i="5"/>
  <c r="AE23" i="5"/>
  <c r="AD23" i="5"/>
  <c r="BS22" i="5"/>
  <c r="BN22" i="5"/>
  <c r="BK22" i="5" s="1"/>
  <c r="BI22" i="5"/>
  <c r="BF22" i="5" s="1"/>
  <c r="AZ22" i="5"/>
  <c r="AX22" i="5"/>
  <c r="AU22" i="5"/>
  <c r="AT22" i="5"/>
  <c r="AJ22" i="5"/>
  <c r="AH22" i="5"/>
  <c r="AE22" i="5"/>
  <c r="AD22" i="5"/>
  <c r="BS21" i="5"/>
  <c r="BN21" i="5"/>
  <c r="BM21" i="5" s="1"/>
  <c r="BI21" i="5"/>
  <c r="BG21" i="5" s="1"/>
  <c r="AZ21" i="5"/>
  <c r="AX21" i="5"/>
  <c r="AU21" i="5"/>
  <c r="AT21" i="5"/>
  <c r="AJ21" i="5"/>
  <c r="AH21" i="5"/>
  <c r="AE21" i="5"/>
  <c r="AD21" i="5"/>
  <c r="BS20" i="5"/>
  <c r="BN20" i="5"/>
  <c r="BJ20" i="5" s="1"/>
  <c r="BI20" i="5"/>
  <c r="BH20" i="5" s="1"/>
  <c r="AZ20" i="5"/>
  <c r="AX20" i="5"/>
  <c r="AU20" i="5"/>
  <c r="AT20" i="5"/>
  <c r="AJ20" i="5"/>
  <c r="AH20" i="5"/>
  <c r="AE20" i="5"/>
  <c r="AD20" i="5"/>
  <c r="BS19" i="5"/>
  <c r="BN19" i="5"/>
  <c r="BM19" i="5" s="1"/>
  <c r="BI19" i="5"/>
  <c r="BE19" i="5" s="1"/>
  <c r="AZ19" i="5"/>
  <c r="AX19" i="5"/>
  <c r="AU19" i="5"/>
  <c r="AT19" i="5"/>
  <c r="AJ19" i="5"/>
  <c r="AH19" i="5"/>
  <c r="AE19" i="5"/>
  <c r="AD19" i="5"/>
  <c r="BS18" i="5"/>
  <c r="BN18" i="5"/>
  <c r="BJ18" i="5" s="1"/>
  <c r="BI18" i="5"/>
  <c r="BH18" i="5" s="1"/>
  <c r="AZ18" i="5"/>
  <c r="AX18" i="5"/>
  <c r="AU18" i="5"/>
  <c r="AT18" i="5"/>
  <c r="AJ18" i="5"/>
  <c r="AH18" i="5"/>
  <c r="AE18" i="5"/>
  <c r="AD18" i="5"/>
  <c r="BS17" i="5"/>
  <c r="BN17" i="5"/>
  <c r="BK17" i="5" s="1"/>
  <c r="BI17" i="5"/>
  <c r="BE17" i="5" s="1"/>
  <c r="AZ17" i="5"/>
  <c r="AX17" i="5"/>
  <c r="AU17" i="5"/>
  <c r="AT17" i="5"/>
  <c r="AJ17" i="5"/>
  <c r="AH17" i="5"/>
  <c r="AE17" i="5"/>
  <c r="AD17" i="5"/>
  <c r="BS16" i="5"/>
  <c r="BN16" i="5"/>
  <c r="BM16" i="5" s="1"/>
  <c r="BI16" i="5"/>
  <c r="BF16" i="5" s="1"/>
  <c r="AZ16" i="5"/>
  <c r="AX16" i="5"/>
  <c r="AU16" i="5"/>
  <c r="AT16" i="5"/>
  <c r="AJ16" i="5"/>
  <c r="AH16" i="5"/>
  <c r="AE16" i="5"/>
  <c r="AD16" i="5"/>
  <c r="BS15" i="5"/>
  <c r="BN15" i="5"/>
  <c r="BM15" i="5" s="1"/>
  <c r="BI15" i="5"/>
  <c r="BG15" i="5" s="1"/>
  <c r="AZ15" i="5"/>
  <c r="AX15" i="5"/>
  <c r="AU15" i="5"/>
  <c r="AT15" i="5"/>
  <c r="AJ15" i="5"/>
  <c r="AH15" i="5"/>
  <c r="AE15" i="5"/>
  <c r="AD15" i="5"/>
  <c r="BS14" i="5"/>
  <c r="BN14" i="5"/>
  <c r="BJ14" i="5" s="1"/>
  <c r="BI14" i="5"/>
  <c r="BH14" i="5" s="1"/>
  <c r="AZ14" i="5"/>
  <c r="AX14" i="5"/>
  <c r="AU14" i="5"/>
  <c r="AT14" i="5"/>
  <c r="AJ14" i="5"/>
  <c r="AH14" i="5"/>
  <c r="AE14" i="5"/>
  <c r="AD14" i="5"/>
  <c r="BS13" i="5"/>
  <c r="BN13" i="5"/>
  <c r="BM13" i="5" s="1"/>
  <c r="BI13" i="5"/>
  <c r="BE13" i="5" s="1"/>
  <c r="AZ13" i="5"/>
  <c r="AX13" i="5"/>
  <c r="AU13" i="5"/>
  <c r="AT13" i="5"/>
  <c r="AJ13" i="5"/>
  <c r="AH13" i="5"/>
  <c r="AE13" i="5"/>
  <c r="AD13" i="5"/>
  <c r="BS12" i="5"/>
  <c r="BN12" i="5"/>
  <c r="BJ12" i="5" s="1"/>
  <c r="BI12" i="5"/>
  <c r="BF12" i="5" s="1"/>
  <c r="AZ12" i="5"/>
  <c r="AX12" i="5"/>
  <c r="AU12" i="5"/>
  <c r="AT12" i="5"/>
  <c r="AH12" i="5"/>
  <c r="AE12" i="5"/>
  <c r="AD12" i="5"/>
  <c r="AJ12" i="5" s="1"/>
  <c r="BS11" i="5"/>
  <c r="BN11" i="5"/>
  <c r="BK11" i="5" s="1"/>
  <c r="BI11" i="5"/>
  <c r="BE11" i="5" s="1"/>
  <c r="AX11" i="5"/>
  <c r="AU11" i="5"/>
  <c r="AT11" i="5"/>
  <c r="AZ11" i="5" s="1"/>
  <c r="AH11" i="5"/>
  <c r="AE11" i="5"/>
  <c r="AD11" i="5"/>
  <c r="AJ11" i="5" s="1"/>
  <c r="BS10" i="5"/>
  <c r="BN10" i="5"/>
  <c r="BK10" i="5" s="1"/>
  <c r="BI10" i="5"/>
  <c r="BF10" i="5" s="1"/>
  <c r="AX10" i="5"/>
  <c r="AU10" i="5"/>
  <c r="AT10" i="5"/>
  <c r="AH10" i="5"/>
  <c r="AE10" i="5"/>
  <c r="AD10" i="5"/>
  <c r="AJ10" i="5" s="1"/>
  <c r="BS9" i="5"/>
  <c r="BN9" i="5"/>
  <c r="BM9" i="5" s="1"/>
  <c r="BI9" i="5"/>
  <c r="BG9" i="5" s="1"/>
  <c r="AX9" i="5"/>
  <c r="AZ9" i="5"/>
  <c r="AJ9" i="5"/>
  <c r="AH9" i="5"/>
  <c r="A8" i="5"/>
  <c r="BI4" i="5"/>
  <c r="AV3" i="5"/>
  <c r="AF3" i="5"/>
  <c r="A2" i="5"/>
  <c r="BS1" i="5"/>
  <c r="BR1" i="5"/>
  <c r="BQ1" i="5"/>
  <c r="BP1" i="5"/>
  <c r="BO1" i="5"/>
  <c r="BN1" i="5"/>
  <c r="BM1" i="5"/>
  <c r="BL1" i="5"/>
  <c r="BK1" i="5"/>
  <c r="BJ1" i="5"/>
  <c r="BI1" i="5"/>
  <c r="BH1" i="5"/>
  <c r="BG1" i="5"/>
  <c r="BF1" i="5"/>
  <c r="BE1" i="5"/>
  <c r="BC1" i="5"/>
  <c r="BB1" i="5"/>
  <c r="AY1" i="5"/>
  <c r="AW1" i="5"/>
  <c r="AV1" i="5"/>
  <c r="AT1" i="5"/>
  <c r="AS1" i="5"/>
  <c r="AR1" i="5"/>
  <c r="AQ1" i="5"/>
  <c r="AP1" i="5"/>
  <c r="AO1" i="5"/>
  <c r="AN1" i="5"/>
  <c r="AM1" i="5"/>
  <c r="AL1" i="5"/>
  <c r="AI1" i="5"/>
  <c r="AG1" i="5"/>
  <c r="AF1" i="5"/>
  <c r="AD1" i="5"/>
  <c r="AC1" i="5"/>
  <c r="AB1" i="5"/>
  <c r="AA1" i="5"/>
  <c r="Z1" i="5"/>
  <c r="Y1" i="5"/>
  <c r="X1" i="5"/>
  <c r="W1" i="5"/>
  <c r="V1" i="5"/>
  <c r="U1" i="5"/>
  <c r="T1" i="5"/>
  <c r="S1" i="5"/>
  <c r="R1" i="5"/>
  <c r="Q1" i="5"/>
  <c r="P1" i="5"/>
  <c r="O1" i="5"/>
  <c r="N1" i="5"/>
  <c r="M1" i="5"/>
  <c r="L1" i="5"/>
  <c r="K1" i="5"/>
  <c r="J1" i="5"/>
  <c r="I1" i="5"/>
  <c r="H1" i="5"/>
  <c r="G1" i="5"/>
  <c r="F1" i="5"/>
  <c r="E1" i="5"/>
  <c r="D1" i="5"/>
  <c r="C1" i="5"/>
  <c r="B1" i="5"/>
  <c r="BH21" i="5" l="1"/>
  <c r="BL20" i="5"/>
  <c r="BH13" i="5"/>
  <c r="BM20" i="5"/>
  <c r="BF21" i="5"/>
  <c r="BJ10" i="5"/>
  <c r="BF19" i="5"/>
  <c r="BL10" i="5"/>
  <c r="BG19" i="5"/>
  <c r="BM10" i="5"/>
  <c r="BL17" i="5"/>
  <c r="BH19" i="5"/>
  <c r="BL11" i="5"/>
  <c r="BE21" i="5"/>
  <c r="BH9" i="5"/>
  <c r="BE16" i="5"/>
  <c r="BE12" i="5"/>
  <c r="BG12" i="5"/>
  <c r="BK20" i="5"/>
  <c r="BK14" i="5"/>
  <c r="BL22" i="5"/>
  <c r="AU24" i="5"/>
  <c r="BG10" i="5"/>
  <c r="BG13" i="5"/>
  <c r="BM14" i="5"/>
  <c r="BM22" i="5"/>
  <c r="BE9" i="5"/>
  <c r="BH12" i="5"/>
  <c r="BL13" i="5"/>
  <c r="BE15" i="5"/>
  <c r="BJ16" i="5"/>
  <c r="BE22" i="5"/>
  <c r="AE24" i="5"/>
  <c r="BF9" i="5"/>
  <c r="BF15" i="5"/>
  <c r="BK16" i="5"/>
  <c r="BJ19" i="5"/>
  <c r="AZ10" i="5"/>
  <c r="BF11" i="5"/>
  <c r="BK12" i="5"/>
  <c r="BH15" i="5"/>
  <c r="BL16" i="5"/>
  <c r="BJ22" i="5"/>
  <c r="AD24" i="5"/>
  <c r="AT24" i="5"/>
  <c r="BI24" i="5"/>
  <c r="BF13" i="5"/>
  <c r="BJ13" i="5"/>
  <c r="BJ17" i="5"/>
  <c r="BE18" i="5"/>
  <c r="BJ23" i="5"/>
  <c r="BL23" i="5"/>
  <c r="BS24" i="5"/>
  <c r="BL14" i="5"/>
  <c r="BG16" i="5"/>
  <c r="BF17" i="5"/>
  <c r="BK18" i="5"/>
  <c r="BG22" i="5"/>
  <c r="BF23" i="5"/>
  <c r="BN24" i="5"/>
  <c r="BH10" i="5"/>
  <c r="BG11" i="5"/>
  <c r="BM11" i="5"/>
  <c r="BL12" i="5"/>
  <c r="BK13" i="5"/>
  <c r="BH16" i="5"/>
  <c r="BG17" i="5"/>
  <c r="BM17" i="5"/>
  <c r="BF18" i="5"/>
  <c r="BL18" i="5"/>
  <c r="BK19" i="5"/>
  <c r="BH22" i="5"/>
  <c r="BG23" i="5"/>
  <c r="BM23" i="5"/>
  <c r="BJ9" i="5"/>
  <c r="BH11" i="5"/>
  <c r="BM12" i="5"/>
  <c r="BE14" i="5"/>
  <c r="BJ15" i="5"/>
  <c r="BH17" i="5"/>
  <c r="BG18" i="5"/>
  <c r="BM18" i="5"/>
  <c r="BL19" i="5"/>
  <c r="BE20" i="5"/>
  <c r="BJ21" i="5"/>
  <c r="BH23" i="5"/>
  <c r="BF14" i="5"/>
  <c r="BK15" i="5"/>
  <c r="BF20" i="5"/>
  <c r="BK21" i="5"/>
  <c r="BK9" i="5"/>
  <c r="BL9" i="5"/>
  <c r="BG14" i="5"/>
  <c r="BG20" i="5"/>
  <c r="BL21" i="5"/>
  <c r="BE10" i="5"/>
  <c r="BJ11" i="5"/>
  <c r="BL15" i="5"/>
  <c r="BE24" i="5" l="1"/>
  <c r="BF24" i="5"/>
  <c r="BH24" i="5"/>
  <c r="BJ24" i="5"/>
  <c r="BM24" i="5"/>
  <c r="BG24" i="5"/>
  <c r="BL24" i="5"/>
  <c r="BK24" i="5"/>
  <c r="AH23" i="1" l="1"/>
  <c r="L1" i="1" l="1"/>
  <c r="CE1" i="1" l="1"/>
  <c r="CD1" i="1"/>
  <c r="CC1" i="1"/>
  <c r="CB1" i="1"/>
  <c r="CA1" i="1"/>
  <c r="BZ1" i="1"/>
  <c r="BY1" i="1"/>
  <c r="BX1" i="1"/>
  <c r="BW1" i="1"/>
  <c r="BV1" i="1"/>
  <c r="BU1" i="1"/>
  <c r="BT1" i="1"/>
  <c r="BS1" i="1"/>
  <c r="BR1" i="1"/>
  <c r="BQ1" i="1"/>
  <c r="BC3" i="1" l="1"/>
  <c r="AE24" i="1" l="1"/>
  <c r="CE23" i="1" l="1"/>
  <c r="CD24" i="1"/>
  <c r="CC24" i="1"/>
  <c r="CB24" i="1"/>
  <c r="CA24" i="1"/>
  <c r="L24" i="1"/>
  <c r="BU4" i="1"/>
  <c r="CE24" i="1" l="1"/>
  <c r="BD1" i="1" l="1"/>
  <c r="AG1" i="1"/>
  <c r="J1" i="1" l="1"/>
  <c r="A2" i="1"/>
  <c r="A24" i="1"/>
  <c r="A8" i="1"/>
  <c r="BO1" i="1"/>
  <c r="BN1" i="1"/>
  <c r="BF1" i="1"/>
  <c r="BC1" i="1"/>
  <c r="BA1" i="1"/>
  <c r="AZ1" i="1"/>
  <c r="AY1" i="1"/>
  <c r="AX1" i="1"/>
  <c r="AW1" i="1"/>
  <c r="AV1" i="1"/>
  <c r="AU1" i="1"/>
  <c r="AT1" i="1"/>
  <c r="AS1" i="1"/>
  <c r="AF1" i="1"/>
  <c r="AD1" i="1"/>
  <c r="AC1" i="1"/>
  <c r="AB1" i="1"/>
  <c r="AA1" i="1"/>
  <c r="Z1" i="1"/>
  <c r="Y1" i="1"/>
  <c r="X1" i="1"/>
  <c r="W1" i="1"/>
  <c r="V1" i="1"/>
  <c r="U1" i="1"/>
  <c r="T1" i="1"/>
  <c r="S1" i="1"/>
  <c r="R1" i="1"/>
  <c r="Q1" i="1"/>
  <c r="P1" i="1"/>
  <c r="O1" i="1"/>
  <c r="N1" i="1"/>
  <c r="M1" i="1"/>
  <c r="I1" i="1"/>
  <c r="H1" i="1"/>
  <c r="G1" i="1"/>
  <c r="K1" i="1"/>
  <c r="F1" i="1"/>
  <c r="E1" i="1"/>
  <c r="D1" i="1"/>
  <c r="C1" i="1"/>
  <c r="B1" i="1"/>
  <c r="BC24" i="1"/>
  <c r="AZ24" i="1"/>
  <c r="AF24" i="1"/>
  <c r="AC24" i="1"/>
  <c r="AX24" i="1"/>
  <c r="AW24" i="1"/>
  <c r="AA24" i="1"/>
  <c r="Z24" i="1"/>
  <c r="R24" i="1"/>
  <c r="P24" i="1"/>
  <c r="Q24" i="1"/>
  <c r="O24" i="1"/>
  <c r="B19" i="1" l="1"/>
  <c r="B15" i="1"/>
  <c r="B16" i="1"/>
  <c r="B17" i="1"/>
  <c r="B18" i="1"/>
  <c r="B21" i="1"/>
  <c r="B20" i="1"/>
  <c r="B22" i="1"/>
  <c r="B9" i="1"/>
  <c r="B10" i="1"/>
  <c r="B13" i="1"/>
  <c r="B14" i="1"/>
  <c r="B12" i="1"/>
  <c r="B11" i="1"/>
  <c r="BV24" i="1"/>
  <c r="BS24" i="1"/>
  <c r="BA24" i="1"/>
  <c r="AD24" i="1"/>
  <c r="BZ24" i="1" l="1"/>
  <c r="BT24" i="1"/>
  <c r="BX24" i="1"/>
  <c r="BQ24" i="1"/>
  <c r="BR24" i="1"/>
  <c r="BY24" i="1"/>
  <c r="BU24" i="1"/>
  <c r="BW24" i="1"/>
  <c r="X24" i="1" l="1"/>
  <c r="Y24" i="1" l="1"/>
  <c r="AU24" i="1" l="1"/>
  <c r="AV2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tc={AA0ADB84-922E-492D-BB0F-9282ABE5F3B2}</author>
  </authors>
  <commentList>
    <comment ref="AC7" authorId="0" shapeId="0" xr:uid="{00000000-0006-0000-0000-00000100000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時間数 / 8</t>
      </text>
    </comment>
  </commentList>
</comments>
</file>

<file path=xl/sharedStrings.xml><?xml version="1.0" encoding="utf-8"?>
<sst xmlns="http://schemas.openxmlformats.org/spreadsheetml/2006/main" count="776" uniqueCount="283">
  <si>
    <t>プロジェクトCD</t>
    <phoneticPr fontId="7"/>
  </si>
  <si>
    <t>下限</t>
    <rPh sb="0" eb="2">
      <t>カゲン</t>
    </rPh>
    <phoneticPr fontId="2"/>
  </si>
  <si>
    <t>上限</t>
    <rPh sb="0" eb="2">
      <t>ジョウゲン</t>
    </rPh>
    <phoneticPr fontId="2"/>
  </si>
  <si>
    <t>平均</t>
    <rPh sb="0" eb="2">
      <t>ヘイキン</t>
    </rPh>
    <phoneticPr fontId="2"/>
  </si>
  <si>
    <t>PCLの質的比率目安</t>
    <rPh sb="4" eb="6">
      <t>シツテキ</t>
    </rPh>
    <rPh sb="6" eb="8">
      <t>ヒリツ</t>
    </rPh>
    <rPh sb="8" eb="10">
      <t>メヤス</t>
    </rPh>
    <phoneticPr fontId="2"/>
  </si>
  <si>
    <t>プロジェクト名</t>
    <rPh sb="6" eb="7">
      <t>メイ</t>
    </rPh>
    <phoneticPr fontId="7"/>
  </si>
  <si>
    <t>PCL密度(件/KS)</t>
    <rPh sb="3" eb="5">
      <t>ミツド</t>
    </rPh>
    <rPh sb="6" eb="7">
      <t>ケン</t>
    </rPh>
    <phoneticPr fontId="2"/>
  </si>
  <si>
    <t>バグ密度(件/KS)</t>
    <rPh sb="2" eb="4">
      <t>ミツド</t>
    </rPh>
    <phoneticPr fontId="2"/>
  </si>
  <si>
    <t>正常</t>
    <rPh sb="0" eb="2">
      <t>セイジョウ</t>
    </rPh>
    <phoneticPr fontId="2"/>
  </si>
  <si>
    <t>異常例外</t>
    <rPh sb="0" eb="2">
      <t>イジョウ</t>
    </rPh>
    <rPh sb="2" eb="4">
      <t>レイガイ</t>
    </rPh>
    <phoneticPr fontId="2"/>
  </si>
  <si>
    <t>限界境界</t>
    <rPh sb="0" eb="2">
      <t>ゲンカイ</t>
    </rPh>
    <rPh sb="2" eb="4">
      <t>キョウカイ</t>
    </rPh>
    <phoneticPr fontId="2"/>
  </si>
  <si>
    <t>ｲﾝﾀﾌｪｰｽ</t>
    <phoneticPr fontId="2"/>
  </si>
  <si>
    <t>合計</t>
    <rPh sb="0" eb="2">
      <t>ゴウケイ</t>
    </rPh>
    <phoneticPr fontId="2"/>
  </si>
  <si>
    <t>●</t>
    <phoneticPr fontId="2"/>
  </si>
  <si>
    <t>×</t>
    <phoneticPr fontId="2"/>
  </si>
  <si>
    <t>計画</t>
    <phoneticPr fontId="2"/>
  </si>
  <si>
    <t>↓追加列</t>
    <phoneticPr fontId="2"/>
  </si>
  <si>
    <t>工程区分</t>
    <rPh sb="0" eb="2">
      <t>コウテイ</t>
    </rPh>
    <rPh sb="2" eb="4">
      <t>クブン</t>
    </rPh>
    <phoneticPr fontId="7"/>
  </si>
  <si>
    <t>1:UT</t>
    <phoneticPr fontId="2"/>
  </si>
  <si>
    <t>概要設計(マッピング)</t>
    <rPh sb="0" eb="2">
      <t>ガイヨウ</t>
    </rPh>
    <rPh sb="2" eb="4">
      <t>セッケイ</t>
    </rPh>
    <phoneticPr fontId="2"/>
  </si>
  <si>
    <t>詳細設計</t>
    <rPh sb="0" eb="2">
      <t>ショウサイ</t>
    </rPh>
    <rPh sb="2" eb="4">
      <t>セッケイ</t>
    </rPh>
    <phoneticPr fontId="2"/>
  </si>
  <si>
    <t>製造・UT</t>
    <rPh sb="0" eb="2">
      <t>セイゾウ</t>
    </rPh>
    <phoneticPr fontId="2"/>
  </si>
  <si>
    <t>No</t>
    <phoneticPr fontId="2"/>
  </si>
  <si>
    <t>大分類</t>
    <phoneticPr fontId="2"/>
  </si>
  <si>
    <t>中分類</t>
    <phoneticPr fontId="2"/>
  </si>
  <si>
    <t>機能ID</t>
    <rPh sb="0" eb="2">
      <t>キノウ</t>
    </rPh>
    <phoneticPr fontId="2"/>
  </si>
  <si>
    <t>機能名称</t>
    <rPh sb="0" eb="2">
      <t>キノウ</t>
    </rPh>
    <rPh sb="2" eb="4">
      <t>メイショウ</t>
    </rPh>
    <phoneticPr fontId="2"/>
  </si>
  <si>
    <t>言語</t>
    <rPh sb="0" eb="2">
      <t>ゲンゴ</t>
    </rPh>
    <phoneticPr fontId="2"/>
  </si>
  <si>
    <t>種別</t>
    <rPh sb="0" eb="2">
      <t>シュベツ</t>
    </rPh>
    <phoneticPr fontId="2"/>
  </si>
  <si>
    <t>適用</t>
    <rPh sb="0" eb="2">
      <t>テキヨウ</t>
    </rPh>
    <phoneticPr fontId="2"/>
  </si>
  <si>
    <t>取消</t>
    <rPh sb="0" eb="2">
      <t>トリケシ</t>
    </rPh>
    <phoneticPr fontId="2"/>
  </si>
  <si>
    <t>見積規模
(KS)</t>
    <rPh sb="0" eb="2">
      <t>ミツモ</t>
    </rPh>
    <rPh sb="2" eb="4">
      <t>キボ</t>
    </rPh>
    <phoneticPr fontId="7"/>
  </si>
  <si>
    <t>実績規模
(KS)</t>
    <rPh sb="0" eb="2">
      <t>ジッセキ</t>
    </rPh>
    <rPh sb="2" eb="4">
      <t>キボ</t>
    </rPh>
    <phoneticPr fontId="2"/>
  </si>
  <si>
    <t>優先度</t>
    <rPh sb="0" eb="2">
      <t>ユウセン</t>
    </rPh>
    <rPh sb="2" eb="3">
      <t>ド</t>
    </rPh>
    <phoneticPr fontId="2"/>
  </si>
  <si>
    <t>予定</t>
    <rPh sb="0" eb="2">
      <t>ヨテイ</t>
    </rPh>
    <phoneticPr fontId="2"/>
  </si>
  <si>
    <t>実績</t>
    <rPh sb="0" eb="2">
      <t>ジッセキ</t>
    </rPh>
    <phoneticPr fontId="2"/>
  </si>
  <si>
    <t>担当者</t>
    <rPh sb="0" eb="2">
      <t>タントウ</t>
    </rPh>
    <rPh sb="2" eb="3">
      <t>シャ</t>
    </rPh>
    <phoneticPr fontId="2"/>
  </si>
  <si>
    <t>工数
(人日)</t>
    <rPh sb="0" eb="2">
      <t>コウスウ</t>
    </rPh>
    <rPh sb="4" eb="5">
      <t>ヒト</t>
    </rPh>
    <rPh sb="5" eb="6">
      <t>ヒ</t>
    </rPh>
    <phoneticPr fontId="2"/>
  </si>
  <si>
    <t>STS
(%)</t>
    <phoneticPr fontId="2"/>
  </si>
  <si>
    <t>確認日</t>
    <rPh sb="0" eb="2">
      <t>カクニン</t>
    </rPh>
    <rPh sb="2" eb="3">
      <t>ビ</t>
    </rPh>
    <phoneticPr fontId="2"/>
  </si>
  <si>
    <t>確認者</t>
    <phoneticPr fontId="2"/>
  </si>
  <si>
    <t>PCL件数</t>
    <rPh sb="3" eb="5">
      <t>ケンスウ</t>
    </rPh>
    <phoneticPr fontId="2"/>
  </si>
  <si>
    <t>進捗</t>
    <rPh sb="0" eb="2">
      <t>シンチョク</t>
    </rPh>
    <phoneticPr fontId="2"/>
  </si>
  <si>
    <t>予定</t>
    <phoneticPr fontId="2"/>
  </si>
  <si>
    <t>実際</t>
    <phoneticPr fontId="2"/>
  </si>
  <si>
    <t>LSC確認者</t>
    <phoneticPr fontId="2"/>
  </si>
  <si>
    <t>PCL評価</t>
    <rPh sb="3" eb="5">
      <t>ヒョウカ</t>
    </rPh>
    <phoneticPr fontId="2"/>
  </si>
  <si>
    <t>UTバグ</t>
    <phoneticPr fontId="2"/>
  </si>
  <si>
    <t>予定</t>
  </si>
  <si>
    <t>実際</t>
  </si>
  <si>
    <t>UTバグ評価</t>
    <rPh sb="4" eb="6">
      <t>ヒョウカ</t>
    </rPh>
    <phoneticPr fontId="2"/>
  </si>
  <si>
    <t>（見積規模）PCL件数</t>
    <rPh sb="1" eb="3">
      <t>ミツモ</t>
    </rPh>
    <rPh sb="3" eb="5">
      <t>キボ</t>
    </rPh>
    <rPh sb="9" eb="11">
      <t>ケンスウ</t>
    </rPh>
    <phoneticPr fontId="2"/>
  </si>
  <si>
    <t>（実績規模）PCL件数</t>
    <rPh sb="1" eb="3">
      <t>ジッセキ</t>
    </rPh>
    <rPh sb="3" eb="5">
      <t>キボ</t>
    </rPh>
    <rPh sb="9" eb="11">
      <t>ケンスウ</t>
    </rPh>
    <phoneticPr fontId="2"/>
  </si>
  <si>
    <t>（実績）PCL件数</t>
    <rPh sb="1" eb="3">
      <t>ジッセキ</t>
    </rPh>
    <rPh sb="7" eb="9">
      <t>ケンスウ</t>
    </rPh>
    <phoneticPr fontId="2"/>
  </si>
  <si>
    <t>開始</t>
    <rPh sb="0" eb="2">
      <t>カイシ</t>
    </rPh>
    <phoneticPr fontId="2"/>
  </si>
  <si>
    <t>終了</t>
    <rPh sb="0" eb="2">
      <t>シュウリョウ</t>
    </rPh>
    <phoneticPr fontId="2"/>
  </si>
  <si>
    <t>目標
下限</t>
    <rPh sb="0" eb="2">
      <t>モクヒョウ</t>
    </rPh>
    <rPh sb="3" eb="5">
      <t>カゲン</t>
    </rPh>
    <phoneticPr fontId="7"/>
  </si>
  <si>
    <t>目標
上限</t>
    <rPh sb="0" eb="2">
      <t>モクヒョウ</t>
    </rPh>
    <rPh sb="3" eb="5">
      <t>ジョウゲン</t>
    </rPh>
    <phoneticPr fontId="7"/>
  </si>
  <si>
    <t>作成済</t>
    <phoneticPr fontId="7"/>
  </si>
  <si>
    <t>現在進捗</t>
    <rPh sb="0" eb="2">
      <t>ゲンザイ</t>
    </rPh>
    <rPh sb="2" eb="4">
      <t>シンチョク</t>
    </rPh>
    <phoneticPr fontId="2"/>
  </si>
  <si>
    <t>進捗率
(%)</t>
    <rPh sb="0" eb="2">
      <t>シンチョク</t>
    </rPh>
    <rPh sb="2" eb="3">
      <t>リツ</t>
    </rPh>
    <phoneticPr fontId="2"/>
  </si>
  <si>
    <t>YJS納品日</t>
    <rPh sb="0" eb="6">
      <t>ヨテイ</t>
    </rPh>
    <phoneticPr fontId="2"/>
  </si>
  <si>
    <t>LSC
受入日</t>
    <phoneticPr fontId="2"/>
  </si>
  <si>
    <t>LSC
受入日</t>
  </si>
  <si>
    <t>LSC
納品日</t>
    <rPh sb="4" eb="7">
      <t>ノウヒンビ</t>
    </rPh>
    <phoneticPr fontId="2"/>
  </si>
  <si>
    <t>LSC
納品日</t>
  </si>
  <si>
    <t>評価</t>
    <phoneticPr fontId="2"/>
  </si>
  <si>
    <t>評価コメント</t>
    <phoneticPr fontId="2"/>
  </si>
  <si>
    <t>確認日</t>
    <phoneticPr fontId="2"/>
  </si>
  <si>
    <t>目標
下限</t>
    <rPh sb="3" eb="5">
      <t>カゲン</t>
    </rPh>
    <phoneticPr fontId="2"/>
  </si>
  <si>
    <t>目標
上限</t>
    <rPh sb="3" eb="5">
      <t>ジョウゲン</t>
    </rPh>
    <phoneticPr fontId="2"/>
  </si>
  <si>
    <t>摘出</t>
    <phoneticPr fontId="2"/>
  </si>
  <si>
    <t>入荷管理</t>
    <phoneticPr fontId="2"/>
  </si>
  <si>
    <t>Java</t>
  </si>
  <si>
    <t>新規</t>
    <phoneticPr fontId="2"/>
  </si>
  <si>
    <t>LSC確認済</t>
  </si>
  <si>
    <t>出荷管理</t>
    <phoneticPr fontId="2"/>
  </si>
  <si>
    <t>梱包明細一覧</t>
    <phoneticPr fontId="2"/>
  </si>
  <si>
    <t>ReferenceTotalStockList</t>
  </si>
  <si>
    <t>StockAdj</t>
  </si>
  <si>
    <t>StockBulkMove</t>
  </si>
  <si>
    <t>StockInOutList</t>
  </si>
  <si>
    <t>StockList</t>
  </si>
  <si>
    <t>YJS確認済</t>
    <rPh sb="4" eb="6">
      <t>カクニン</t>
    </rPh>
    <phoneticPr fontId="2"/>
  </si>
  <si>
    <t>　</t>
  </si>
  <si>
    <t>テスト済</t>
    <rPh sb="3" eb="4">
      <t>スミ</t>
    </rPh>
    <phoneticPr fontId="2"/>
  </si>
  <si>
    <t>※↓これより下に行追加しないでください</t>
    <rPh sb="6" eb="7">
      <t>シタ</t>
    </rPh>
    <rPh sb="8" eb="9">
      <t>ギョウ</t>
    </rPh>
    <rPh sb="9" eb="11">
      <t>ツイカ</t>
    </rPh>
    <phoneticPr fontId="2"/>
  </si>
  <si>
    <t>※↓現在進捗を任意に設定</t>
    <rPh sb="2" eb="4">
      <t>ゲンザイ</t>
    </rPh>
    <rPh sb="4" eb="6">
      <t>シンチョク</t>
    </rPh>
    <rPh sb="7" eb="9">
      <t>ニンイ</t>
    </rPh>
    <rPh sb="10" eb="12">
      <t>セッテイ</t>
    </rPh>
    <phoneticPr fontId="7"/>
  </si>
  <si>
    <t>未着手</t>
    <rPh sb="0" eb="3">
      <t>ミチャクシュ</t>
    </rPh>
    <phoneticPr fontId="2"/>
  </si>
  <si>
    <t>着手中</t>
    <phoneticPr fontId="2"/>
  </si>
  <si>
    <t>開発中</t>
    <phoneticPr fontId="2"/>
  </si>
  <si>
    <t>仕様作成済</t>
    <rPh sb="0" eb="2">
      <t>シヨウ</t>
    </rPh>
    <rPh sb="2" eb="4">
      <t>サクセイ</t>
    </rPh>
    <rPh sb="4" eb="5">
      <t>ズ</t>
    </rPh>
    <phoneticPr fontId="2"/>
  </si>
  <si>
    <t>PJ2021TEST1</t>
    <phoneticPr fontId="34"/>
  </si>
  <si>
    <t>SLPM構築</t>
    <phoneticPr fontId="34"/>
  </si>
  <si>
    <t>概要設計</t>
    <rPh sb="0" eb="2">
      <t>ガイヨウ</t>
    </rPh>
    <rPh sb="2" eb="4">
      <t>セッケイ</t>
    </rPh>
    <phoneticPr fontId="2"/>
  </si>
  <si>
    <t>備考</t>
    <rPh sb="0" eb="2">
      <t>ビコウ</t>
    </rPh>
    <phoneticPr fontId="2"/>
  </si>
  <si>
    <t>SLPM</t>
  </si>
  <si>
    <t>HAND</t>
  </si>
  <si>
    <t>SLPMG001</t>
  </si>
  <si>
    <t>ログイン画面</t>
    <rPh sb="4" eb="6">
      <t>ガメン</t>
    </rPh>
    <phoneticPr fontId="33"/>
  </si>
  <si>
    <t>画面</t>
    <rPh sb="0" eb="2">
      <t>ガメン</t>
    </rPh>
    <phoneticPr fontId="24"/>
  </si>
  <si>
    <t>A</t>
  </si>
  <si>
    <t>画面系CT</t>
    <rPh sb="0" eb="2">
      <t>ガメン</t>
    </rPh>
    <rPh sb="2" eb="3">
      <t>ケイ</t>
    </rPh>
    <phoneticPr fontId="2"/>
  </si>
  <si>
    <t>黄</t>
    <rPh sb="0" eb="1">
      <t>コウ</t>
    </rPh>
    <phoneticPr fontId="34"/>
  </si>
  <si>
    <t>確認済</t>
  </si>
  <si>
    <t>ONEs流用のため問題なし</t>
    <rPh sb="4" eb="6">
      <t>リュウヨウ</t>
    </rPh>
    <rPh sb="9" eb="11">
      <t>モンダイ</t>
    </rPh>
    <phoneticPr fontId="34"/>
  </si>
  <si>
    <t>服部</t>
    <rPh sb="0" eb="2">
      <t>ハットリ</t>
    </rPh>
    <phoneticPr fontId="34"/>
  </si>
  <si>
    <t>SLPMG002</t>
  </si>
  <si>
    <t>メニュー画面</t>
  </si>
  <si>
    <t>新規</t>
  </si>
  <si>
    <t>画面系CT</t>
  </si>
  <si>
    <t>平野</t>
    <rPh sb="0" eb="2">
      <t>ヒラノ</t>
    </rPh>
    <phoneticPr fontId="34"/>
  </si>
  <si>
    <t>SLPMG003</t>
  </si>
  <si>
    <t>PJ状況一覧画面</t>
    <rPh sb="2" eb="4">
      <t>ジョウキョウ</t>
    </rPh>
    <rPh sb="4" eb="6">
      <t>イチラン</t>
    </rPh>
    <rPh sb="6" eb="8">
      <t>ガメン</t>
    </rPh>
    <phoneticPr fontId="33"/>
  </si>
  <si>
    <t>B</t>
    <phoneticPr fontId="34"/>
  </si>
  <si>
    <t>SLPMG004</t>
  </si>
  <si>
    <t>個別PJ状況画面</t>
    <rPh sb="4" eb="6">
      <t>ジョウキョウ</t>
    </rPh>
    <rPh sb="6" eb="8">
      <t>ガメン</t>
    </rPh>
    <phoneticPr fontId="32"/>
  </si>
  <si>
    <t>SLPMG005</t>
  </si>
  <si>
    <t>工程別状況画面</t>
    <rPh sb="0" eb="2">
      <t>コウテイ</t>
    </rPh>
    <rPh sb="2" eb="3">
      <t>ベツ</t>
    </rPh>
    <rPh sb="3" eb="5">
      <t>ジョウキョウ</t>
    </rPh>
    <rPh sb="5" eb="7">
      <t>ガメン</t>
    </rPh>
    <phoneticPr fontId="32"/>
  </si>
  <si>
    <t>C</t>
    <phoneticPr fontId="34"/>
  </si>
  <si>
    <t>要件確定</t>
  </si>
  <si>
    <t>SLPMG006</t>
  </si>
  <si>
    <t>アップロード画面</t>
    <rPh sb="6" eb="8">
      <t>ガメン</t>
    </rPh>
    <phoneticPr fontId="33"/>
  </si>
  <si>
    <t>要件確定</t>
    <phoneticPr fontId="2"/>
  </si>
  <si>
    <t>開発済</t>
    <phoneticPr fontId="2"/>
  </si>
  <si>
    <t>テスト済</t>
    <phoneticPr fontId="2"/>
  </si>
  <si>
    <t>PCL作成済</t>
    <rPh sb="3" eb="5">
      <t>サクセイ</t>
    </rPh>
    <phoneticPr fontId="2"/>
  </si>
  <si>
    <t>エビデンス済</t>
    <phoneticPr fontId="2"/>
  </si>
  <si>
    <t>確認済</t>
    <phoneticPr fontId="2"/>
  </si>
  <si>
    <t>プロジェクトCD</t>
  </si>
  <si>
    <t>工程区分</t>
  </si>
  <si>
    <t>項番</t>
  </si>
  <si>
    <t>大分類</t>
  </si>
  <si>
    <t>中分類</t>
  </si>
  <si>
    <t>機能ID</t>
  </si>
  <si>
    <t>機能名称</t>
  </si>
  <si>
    <t>言語</t>
  </si>
  <si>
    <t>種別</t>
  </si>
  <si>
    <t>適用</t>
  </si>
  <si>
    <t>開発規模</t>
  </si>
  <si>
    <t>優先度</t>
  </si>
  <si>
    <t>備考</t>
  </si>
  <si>
    <t>PLAN予定開始日</t>
  </si>
  <si>
    <t>PLAN予定終了日</t>
  </si>
  <si>
    <t>PLAN実績開始日</t>
  </si>
  <si>
    <t>PLAN実績終了日</t>
  </si>
  <si>
    <t>PLAN担当者</t>
  </si>
  <si>
    <t>PLAN工数</t>
  </si>
  <si>
    <t>目標CL件数</t>
  </si>
  <si>
    <t>作成済CL件数</t>
  </si>
  <si>
    <t>PLAN完了STS</t>
  </si>
  <si>
    <t>PLAN確認日</t>
  </si>
  <si>
    <t>PLAN確認者</t>
  </si>
  <si>
    <t>DO予定開始日</t>
  </si>
  <si>
    <t>DO予定終了日</t>
  </si>
  <si>
    <t>DO実績開始日</t>
  </si>
  <si>
    <t>DO実績終了日</t>
  </si>
  <si>
    <t>DO担当者</t>
  </si>
  <si>
    <t>DO工数</t>
  </si>
  <si>
    <t>目標バグ件数</t>
  </si>
  <si>
    <t>摘出バグ件数</t>
  </si>
  <si>
    <t>DO完了STS</t>
  </si>
  <si>
    <t>DO確認日</t>
  </si>
  <si>
    <t>DO確認者</t>
  </si>
  <si>
    <t>実績規模</t>
  </si>
  <si>
    <t>MKPCL正常</t>
  </si>
  <si>
    <t>MKPCL異常例外</t>
  </si>
  <si>
    <t>MKPCL限界境界</t>
  </si>
  <si>
    <t>MKPCLインタフェース</t>
  </si>
  <si>
    <t>MKPCL合計</t>
  </si>
  <si>
    <t>JKPCL正常</t>
  </si>
  <si>
    <t>JKPCL異常例外</t>
  </si>
  <si>
    <t>JKPCL限界境界</t>
  </si>
  <si>
    <t>JKPCLインタフェース</t>
  </si>
  <si>
    <t>JKPCL合計</t>
  </si>
  <si>
    <t>JJPCL正常</t>
  </si>
  <si>
    <t>JJPCL異常例外</t>
  </si>
  <si>
    <t>JJPCL限界境界</t>
  </si>
  <si>
    <t>JJPCLインタフェース</t>
  </si>
  <si>
    <t>JJPCL合計</t>
  </si>
  <si>
    <t>Enhance</t>
  </si>
  <si>
    <t>UT</t>
  </si>
  <si>
    <t>B01-01</t>
  </si>
  <si>
    <t>入荷確定機能</t>
  </si>
  <si>
    <t>ParameterMasterEdit</t>
  </si>
  <si>
    <t>パラメータマスタメンテナンス(編集)</t>
  </si>
  <si>
    <t>JAVA</t>
  </si>
  <si>
    <t>エンハンス</t>
  </si>
  <si>
    <t>修正</t>
  </si>
  <si>
    <t>マッピング定義の追記が必要</t>
  </si>
  <si>
    <t>HDIS_許</t>
  </si>
  <si>
    <t>HDIS_初</t>
  </si>
  <si>
    <t>入荷確定機能、処理区分別欠品判定機能</t>
  </si>
  <si>
    <t>ProcessTypeParameterMasterEdit</t>
  </si>
  <si>
    <t>処理区分パラメータマスタメンテナンス(編集)</t>
  </si>
  <si>
    <t>画面イメージのみ作成済設計概要とマッピング定義新規作成</t>
  </si>
  <si>
    <t>CenterMasterEdit</t>
  </si>
  <si>
    <t>センタマスタメンテナンス(編集)</t>
  </si>
  <si>
    <t>HDIS_董</t>
  </si>
  <si>
    <t>B03-01</t>
  </si>
  <si>
    <t>商品情報入力</t>
  </si>
  <si>
    <t>ShapeGroupMasterEdit</t>
  </si>
  <si>
    <t>荷姿グループマスタメンテナンス(編集)</t>
  </si>
  <si>
    <t>HDIS_王</t>
  </si>
  <si>
    <t>B04-01</t>
  </si>
  <si>
    <t>抜取り検査対応、変更理由CD対応</t>
  </si>
  <si>
    <t>在庫受払問合せ</t>
  </si>
  <si>
    <t>全流用</t>
  </si>
  <si>
    <t>B05-01</t>
  </si>
  <si>
    <t>変更理由CD対応</t>
  </si>
  <si>
    <t>ChangeReazonMaster</t>
  </si>
  <si>
    <t>変更理由マスタメンテナンス</t>
  </si>
  <si>
    <t>在庫調整</t>
  </si>
  <si>
    <t>StockMove</t>
  </si>
  <si>
    <t>在庫移動</t>
  </si>
  <si>
    <t>在庫一括移動指示</t>
  </si>
  <si>
    <t>Y01-01</t>
  </si>
  <si>
    <t>商品サブコード追加</t>
  </si>
  <si>
    <t>ProductMasterList</t>
  </si>
  <si>
    <t>商品マスタメンテナンス(一覧)</t>
  </si>
  <si>
    <t>抜き取り検査フラグの対応をマージする必要。マッピング定義の追記</t>
  </si>
  <si>
    <t>ProductMasterEdit</t>
  </si>
  <si>
    <t>商品マスタメンテナンス(編集)</t>
  </si>
  <si>
    <t>ProductMasterBulkInput</t>
  </si>
  <si>
    <t>商品マスタ一括取込</t>
  </si>
  <si>
    <t>ProductMasterSearch</t>
  </si>
  <si>
    <t>商品マスタ検索</t>
  </si>
  <si>
    <t>在庫問合せ</t>
  </si>
  <si>
    <t>マッピング定義の追記が必要。赤字を黒にする必要</t>
  </si>
  <si>
    <t>ReferenceStockList</t>
  </si>
  <si>
    <t>在庫問合せ(参照)</t>
  </si>
  <si>
    <t>TotalStockList</t>
  </si>
  <si>
    <t>トータル在庫問合せ</t>
  </si>
  <si>
    <t>トータル在庫問合せ(参照)</t>
  </si>
  <si>
    <t>テンプレート名</t>
    <rPh sb="6" eb="7">
      <t>メイ</t>
    </rPh>
    <phoneticPr fontId="14"/>
  </si>
  <si>
    <t>進捗表</t>
    <phoneticPr fontId="14"/>
  </si>
  <si>
    <t>工程</t>
    <rPh sb="0" eb="2">
      <t>コウテイ</t>
    </rPh>
    <phoneticPr fontId="14"/>
  </si>
  <si>
    <t>UT</t>
    <phoneticPr fontId="14"/>
  </si>
  <si>
    <t>プロジェクトCD</t>
    <phoneticPr fontId="14"/>
  </si>
  <si>
    <t>Enhance</t>
    <phoneticPr fontId="2"/>
  </si>
  <si>
    <t>プロジェクト名</t>
    <rPh sb="6" eb="7">
      <t>メイ</t>
    </rPh>
    <phoneticPr fontId="14"/>
  </si>
  <si>
    <t>[Java版WMS殿向け ＤＣ機能拡充【Ver4.2】]</t>
    <phoneticPr fontId="2"/>
  </si>
  <si>
    <t>シート名</t>
    <phoneticPr fontId="14"/>
  </si>
  <si>
    <t>プログラム進捗表</t>
    <phoneticPr fontId="2"/>
  </si>
  <si>
    <t>マクロ実行日時</t>
    <phoneticPr fontId="14"/>
  </si>
  <si>
    <t>エラー有無</t>
    <rPh sb="3" eb="5">
      <t>ウム</t>
    </rPh>
    <phoneticPr fontId="14"/>
  </si>
  <si>
    <t>バージョン</t>
    <phoneticPr fontId="14"/>
  </si>
  <si>
    <t>棚卸管理</t>
    <phoneticPr fontId="2"/>
  </si>
  <si>
    <t>画面</t>
    <phoneticPr fontId="2"/>
  </si>
  <si>
    <t>ミドリ安全</t>
    <phoneticPr fontId="2"/>
  </si>
  <si>
    <t>LSC確認済</t>
    <phoneticPr fontId="2"/>
  </si>
  <si>
    <t>LSC納品済</t>
    <rPh sb="3" eb="5">
      <t>ノウヒン</t>
    </rPh>
    <rPh sb="5" eb="6">
      <t>スミ</t>
    </rPh>
    <phoneticPr fontId="2"/>
  </si>
  <si>
    <t>入荷実績入力</t>
    <phoneticPr fontId="2"/>
  </si>
  <si>
    <t>入荷実績入力(入荷数入力)</t>
    <phoneticPr fontId="2"/>
  </si>
  <si>
    <t>ロケーション移動状況</t>
    <phoneticPr fontId="2"/>
  </si>
  <si>
    <t>梱包明細修正</t>
    <phoneticPr fontId="2"/>
  </si>
  <si>
    <t>棚卸関連リスト発行</t>
    <phoneticPr fontId="2"/>
  </si>
  <si>
    <t>エイジス社用商品データ出力</t>
    <phoneticPr fontId="2"/>
  </si>
  <si>
    <t>エイジス社用棚卸実績データ取込</t>
    <phoneticPr fontId="2"/>
  </si>
  <si>
    <t>棚卸在庫差異表</t>
    <phoneticPr fontId="2"/>
  </si>
  <si>
    <t>商品別棚卸実績表兼差異表</t>
    <phoneticPr fontId="2"/>
  </si>
  <si>
    <t>商品別棚卸実績表(LOC表示あり)</t>
    <phoneticPr fontId="2"/>
  </si>
  <si>
    <t>在庫差異確認表</t>
    <phoneticPr fontId="2"/>
  </si>
  <si>
    <t>預り商品マスタメンテナンス(一覧)</t>
    <phoneticPr fontId="2"/>
  </si>
  <si>
    <t>預り商品マスタメンテナンス(編集)</t>
    <phoneticPr fontId="2"/>
  </si>
  <si>
    <t>ReceiveInput</t>
    <phoneticPr fontId="2"/>
  </si>
  <si>
    <t>ReceiveInputSu</t>
    <phoneticPr fontId="2"/>
  </si>
  <si>
    <t>LocationMovementStatus</t>
    <phoneticPr fontId="2"/>
  </si>
  <si>
    <t>PackingList</t>
    <phoneticPr fontId="2"/>
  </si>
  <si>
    <t>PackingListUpdate</t>
    <phoneticPr fontId="2"/>
  </si>
  <si>
    <t>InventoryListPrint</t>
    <phoneticPr fontId="2"/>
  </si>
  <si>
    <t>InventoryStockDiffList</t>
    <phoneticPr fontId="2"/>
  </si>
  <si>
    <t>ProductInventoryDiffList</t>
    <phoneticPr fontId="2"/>
  </si>
  <si>
    <t>DepositProductMasterList</t>
    <phoneticPr fontId="2"/>
  </si>
  <si>
    <t>DepositProductMasterEdit</t>
    <phoneticPr fontId="2"/>
  </si>
  <si>
    <t>マスタ管理</t>
    <phoneticPr fontId="2"/>
  </si>
  <si>
    <t>帳票</t>
    <phoneticPr fontId="2"/>
  </si>
  <si>
    <t>修正</t>
    <phoneticPr fontId="2"/>
  </si>
  <si>
    <t>張</t>
    <phoneticPr fontId="2"/>
  </si>
  <si>
    <t>蒋</t>
    <rPh sb="0" eb="1">
      <t>ショウ</t>
    </rPh>
    <phoneticPr fontId="2"/>
  </si>
  <si>
    <t>蒋</t>
    <phoneticPr fontId="2"/>
  </si>
  <si>
    <t>戴</t>
    <phoneticPr fontId="2"/>
  </si>
  <si>
    <t>瞿</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</si>
</sst>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6" formatCode="&quot;¥&quot;#,##0;[Red]&quot;¥&quot;\-#,##0"/>
    <numFmt numFmtId="8" formatCode="&quot;¥&quot;#,##0.00;[Red]&quot;¥&quot;\-#,##0.00"/>
    <numFmt numFmtId="41" formatCode="_ * #,##0_ ;_ * \-#,##0_ ;_ * &quot;-&quot;_ ;_ @_ "/>
    <numFmt numFmtId="43" formatCode="_ * #,##0.00_ ;_ * \-#,##0.00_ ;_ * &quot;-&quot;??_ ;_ @_ "/>
    <numFmt numFmtId="176" formatCode="&quot;¥&quot;#,##0;[Red]\-&quot;¥&quot;#,##0"/>
    <numFmt numFmtId="177" formatCode="m/d"/>
    <numFmt numFmtId="178" formatCode="0.0_ "/>
    <numFmt numFmtId="179" formatCode="0_);[Red]\(0\)"/>
    <numFmt numFmtId="180" formatCode="0.0_);[Red]\(0.0\)"/>
    <numFmt numFmtId="181" formatCode="m/d;@"/>
    <numFmt numFmtId="182" formatCode="0.0"/>
    <numFmt numFmtId="183" formatCode="#,##0.0;[Red]\-#,##0.0"/>
    <numFmt numFmtId="184" formatCode="#,##0;\-#,##0;&quot;-&quot;"/>
    <numFmt numFmtId="185" formatCode="0%;\(0%\)"/>
    <numFmt numFmtId="186" formatCode="0.0%"/>
    <numFmt numFmtId="187" formatCode="#,##0.0_);\(#,##0.0\)"/>
    <numFmt numFmtId="188" formatCode="&quot;$&quot;#,##0_);[Red]\(&quot;$&quot;#,##0\)"/>
    <numFmt numFmtId="189" formatCode="&quot;$&quot;#,##0_);\(&quot;$&quot;#,##0\)"/>
    <numFmt numFmtId="190" formatCode="&quot;$&quot;#,##0.00_);\(&quot;$&quot;#,##0.00\)"/>
    <numFmt numFmtId="191" formatCode="&quot;$&quot;#,##0.00_);[Red]\(&quot;$&quot;#,##0.00\)"/>
    <numFmt numFmtId="192" formatCode="&quot;¥&quot;#,##0.00;[Red]&quot;¥&quot;&quot;¥&quot;&quot;¥&quot;&quot;¥&quot;&quot;¥&quot;&quot;¥&quot;&quot;¥&quot;&quot;¥&quot;&quot;¥&quot;&quot;¥&quot;&quot;¥&quot;\-#,##0.00"/>
    <numFmt numFmtId="193" formatCode="#."/>
    <numFmt numFmtId="194" formatCode="_-* #,##0\ _F_-;\-* #,##0\ _F_-;_-* &quot;-&quot;\ _F_-;_-@_-"/>
    <numFmt numFmtId="195" formatCode="_-* #,##0.00\ _F_-;\-* #,##0.00\ _F_-;_-* &quot;-&quot;??\ _F_-;_-@_-"/>
    <numFmt numFmtId="196" formatCode="_-* #,##0\ &quot;F&quot;_-;\-* #,##0\ &quot;F&quot;_-;_-* &quot;-&quot;\ &quot;F&quot;_-;_-@_-"/>
    <numFmt numFmtId="197" formatCode="_-* #,##0.00\ &quot;F&quot;_-;\-* #,##0.00\ &quot;F&quot;_-;_-* &quot;-&quot;??\ &quot;F&quot;_-;_-@_-"/>
    <numFmt numFmtId="198" formatCode="_(&quot;$&quot;* #,##0.00_);_(&quot;$&quot;* \(#,##0.00\);_(&quot;$&quot;* &quot;-&quot;??_);_(@_)"/>
    <numFmt numFmtId="199" formatCode="yy/mm"/>
    <numFmt numFmtId="200" formatCode="#,##0\-;&quot;▲&quot;#,##0\-"/>
    <numFmt numFmtId="201" formatCode="0.000000"/>
    <numFmt numFmtId="202" formatCode="_-&quot;$&quot;* #,##0.00_-;\-&quot;$&quot;* #,##0.00_-;_-&quot;$&quot;* &quot;-&quot;??_-;_-@_-"/>
    <numFmt numFmtId="203" formatCode="&quot;¥&quot;#,##0\-;&quot;¥&quot;&quot;▲&quot;#,##0\-"/>
  </numFmts>
  <fonts count="146">
    <font>
      <sz val="11"/>
      <color theme="1"/>
      <name val="Meiryo UI"/>
      <family val="2"/>
      <charset val="128"/>
    </font>
    <font>
      <sz val="11"/>
      <color theme="1"/>
      <name val="ＭＳ Ｐゴシック"/>
      <family val="2"/>
      <charset val="128"/>
      <scheme val="minor"/>
    </font>
    <font>
      <sz val="6"/>
      <name val="Meiryo UI"/>
      <family val="2"/>
      <charset val="128"/>
    </font>
    <font>
      <sz val="10"/>
      <name val="Meiryo UI"/>
      <family val="3"/>
      <charset val="128"/>
    </font>
    <font>
      <sz val="10"/>
      <color theme="0"/>
      <name val="Meiryo UI"/>
      <family val="3"/>
      <charset val="128"/>
    </font>
    <font>
      <sz val="10"/>
      <name val="ＭＳ ゴシック"/>
      <family val="3"/>
      <charset val="128"/>
    </font>
    <font>
      <sz val="11"/>
      <color theme="1"/>
      <name val="ＭＳ Ｐゴシック"/>
      <family val="3"/>
      <charset val="128"/>
      <scheme val="minor"/>
    </font>
    <font>
      <sz val="6"/>
      <name val="ＭＳ Ｐゴシック"/>
      <family val="3"/>
      <charset val="128"/>
    </font>
    <font>
      <sz val="11"/>
      <color theme="1"/>
      <name val="Meiryo UI"/>
      <family val="2"/>
      <charset val="128"/>
    </font>
    <font>
      <sz val="11"/>
      <name val="ＭＳ Ｐゴシック"/>
      <family val="3"/>
      <charset val="128"/>
    </font>
    <font>
      <sz val="10"/>
      <color theme="1"/>
      <name val="Meiryo UI"/>
      <family val="3"/>
      <charset val="128"/>
    </font>
    <font>
      <sz val="14"/>
      <color rgb="FF333333"/>
      <name val="Meiryo UI"/>
      <family val="3"/>
      <charset val="128"/>
    </font>
    <font>
      <sz val="11"/>
      <color theme="1"/>
      <name val="ＭＳ Ｐゴシック"/>
      <family val="2"/>
      <charset val="128"/>
      <scheme val="minor"/>
    </font>
    <font>
      <b/>
      <sz val="16"/>
      <color theme="1"/>
      <name val="ＭＳ Ｐゴシック"/>
      <family val="3"/>
      <charset val="128"/>
      <scheme val="minor"/>
    </font>
    <font>
      <sz val="6"/>
      <name val="ＭＳ Ｐゴシック"/>
      <family val="2"/>
      <charset val="128"/>
      <scheme val="minor"/>
    </font>
    <font>
      <sz val="16"/>
      <color theme="1"/>
      <name val="ＭＳ Ｐゴシック"/>
      <family val="3"/>
      <charset val="128"/>
      <scheme val="minor"/>
    </font>
    <font>
      <b/>
      <sz val="10"/>
      <color theme="1"/>
      <name val="Meiryo UI"/>
      <family val="3"/>
      <charset val="128"/>
    </font>
    <font>
      <b/>
      <sz val="10"/>
      <color rgb="FF000080"/>
      <name val="Meiryo UI"/>
      <family val="3"/>
      <charset val="128"/>
    </font>
    <font>
      <b/>
      <sz val="11"/>
      <color rgb="FF000080"/>
      <name val="Meiryo UI"/>
      <family val="3"/>
      <charset val="128"/>
    </font>
    <font>
      <sz val="11"/>
      <color theme="1"/>
      <name val="Meiryo UI"/>
      <family val="3"/>
      <charset val="128"/>
    </font>
    <font>
      <b/>
      <sz val="11"/>
      <color rgb="FFFF0000"/>
      <name val="Meiryo UI"/>
      <family val="3"/>
      <charset val="128"/>
    </font>
    <font>
      <sz val="9"/>
      <color theme="1"/>
      <name val="Meiryo UI"/>
      <family val="2"/>
      <charset val="128"/>
    </font>
    <font>
      <sz val="12"/>
      <color theme="1"/>
      <name val="ＭＳ ゴシック"/>
      <family val="2"/>
      <charset val="128"/>
    </font>
    <font>
      <sz val="11"/>
      <color theme="1"/>
      <name val="ＭＳ Ｐゴシック"/>
      <family val="2"/>
      <scheme val="minor"/>
    </font>
    <font>
      <sz val="6"/>
      <color rgb="FFFF0000"/>
      <name val="Meiryo UI"/>
      <family val="3"/>
      <charset val="128"/>
    </font>
    <font>
      <b/>
      <sz val="6"/>
      <color rgb="FFFF0000"/>
      <name val="Meiryo UI"/>
      <family val="3"/>
      <charset val="128"/>
    </font>
    <font>
      <sz val="6"/>
      <color rgb="FF333333"/>
      <name val="Meiryo UI"/>
      <family val="3"/>
      <charset val="128"/>
    </font>
    <font>
      <b/>
      <sz val="6"/>
      <name val="Meiryo UI"/>
      <family val="3"/>
      <charset val="128"/>
    </font>
    <font>
      <sz val="9"/>
      <name val="Meiryo UI"/>
      <family val="3"/>
      <charset val="128"/>
    </font>
    <font>
      <sz val="6"/>
      <name val="Meiryo UI"/>
      <family val="3"/>
      <charset val="128"/>
    </font>
    <font>
      <b/>
      <sz val="10"/>
      <color rgb="FFFF0000"/>
      <name val="Meiryo UI"/>
      <family val="3"/>
      <charset val="128"/>
    </font>
    <font>
      <b/>
      <sz val="10"/>
      <name val="Meiryo UI"/>
      <family val="3"/>
      <charset val="128"/>
    </font>
    <font>
      <b/>
      <sz val="13"/>
      <color theme="3"/>
      <name val="ＭＳ Ｐゴシック"/>
      <family val="2"/>
      <charset val="128"/>
    </font>
    <font>
      <sz val="9"/>
      <color rgb="FF9C5700"/>
      <name val="ＭＳ Ｐゴシック"/>
      <family val="2"/>
      <charset val="128"/>
    </font>
    <font>
      <sz val="6"/>
      <name val="ＭＳ Ｐゴシック"/>
      <family val="2"/>
      <charset val="128"/>
    </font>
    <font>
      <sz val="10"/>
      <name val="Microsoft YaHei"/>
      <family val="3"/>
      <charset val="134"/>
    </font>
    <font>
      <sz val="14"/>
      <color rgb="FF333333"/>
      <name val="Microsoft YaHei"/>
      <family val="3"/>
      <charset val="134"/>
    </font>
    <font>
      <b/>
      <sz val="10"/>
      <color rgb="FFFF0000"/>
      <name val="Meiryo UI"/>
      <family val="3"/>
      <charset val="134"/>
    </font>
    <font>
      <sz val="10"/>
      <color indexed="8"/>
      <name val="Arial"/>
      <family val="2"/>
    </font>
    <font>
      <b/>
      <sz val="12"/>
      <name val="Arial"/>
      <family val="2"/>
    </font>
    <font>
      <sz val="10"/>
      <name val="Arial"/>
      <family val="2"/>
    </font>
    <font>
      <vertAlign val="subscript"/>
      <sz val="11"/>
      <name val="ＭＳ 明朝"/>
      <family val="1"/>
      <charset val="128"/>
    </font>
    <font>
      <i/>
      <sz val="11"/>
      <color indexed="23"/>
      <name val="ＭＳ Ｐゴシック"/>
      <family val="3"/>
    </font>
    <font>
      <sz val="11"/>
      <color indexed="17"/>
      <name val="ＭＳ Ｐゴシック"/>
      <family val="3"/>
    </font>
    <font>
      <sz val="11"/>
      <color indexed="17"/>
      <name val="ＭＳ Ｐゴシック"/>
      <family val="3"/>
      <charset val="128"/>
    </font>
    <font>
      <sz val="11"/>
      <color indexed="17"/>
      <name val="宋体"/>
      <family val="3"/>
      <charset val="128"/>
    </font>
    <font>
      <sz val="11"/>
      <color indexed="20"/>
      <name val="宋体"/>
      <family val="3"/>
      <charset val="134"/>
    </font>
    <font>
      <sz val="11"/>
      <name val="ＭＳ ゴシック"/>
      <family val="3"/>
      <charset val="128"/>
    </font>
    <font>
      <sz val="13"/>
      <name val="Tms Rmn"/>
      <family val="1"/>
    </font>
    <font>
      <sz val="11"/>
      <name val="明朝"/>
      <family val="1"/>
      <charset val="128"/>
    </font>
    <font>
      <sz val="11"/>
      <color indexed="8"/>
      <name val="ＭＳ Ｐゴシック"/>
      <family val="3"/>
      <charset val="128"/>
    </font>
    <font>
      <sz val="10"/>
      <name val="中ゴシックＢＢＢ"/>
      <family val="1"/>
      <charset val="128"/>
    </font>
    <font>
      <b/>
      <sz val="13"/>
      <name val="Tms Rmn"/>
      <family val="1"/>
    </font>
    <font>
      <sz val="10"/>
      <name val="MS Sans Serif"/>
      <family val="2"/>
    </font>
    <font>
      <sz val="8"/>
      <name val="Arial"/>
      <family val="2"/>
    </font>
    <font>
      <sz val="10"/>
      <name val="ＭＳ 明朝"/>
      <family val="1"/>
      <charset val="128"/>
    </font>
    <font>
      <sz val="12"/>
      <name val="바탕체"/>
      <family val="3"/>
      <charset val="255"/>
    </font>
    <font>
      <sz val="11"/>
      <color indexed="20"/>
      <name val="ＭＳ Ｐゴシック"/>
      <family val="3"/>
      <charset val="128"/>
    </font>
    <font>
      <sz val="12"/>
      <name val="ＭＳ Ｐゴシック"/>
      <family val="3"/>
      <charset val="128"/>
    </font>
    <font>
      <sz val="8"/>
      <name val="ＭＳ Ｐゴシック"/>
      <family val="3"/>
      <charset val="128"/>
    </font>
    <font>
      <sz val="14"/>
      <name val="ＭＳ 明朝"/>
      <family val="1"/>
      <charset val="128"/>
    </font>
    <font>
      <sz val="10"/>
      <name val="ＭＳ Ｐゴシック"/>
      <family val="3"/>
      <charset val="128"/>
    </font>
    <font>
      <sz val="9"/>
      <name val="?? ?????"/>
      <family val="3"/>
    </font>
    <font>
      <sz val="8"/>
      <name val="Times New Roman"/>
      <family val="1"/>
    </font>
    <font>
      <sz val="12"/>
      <name val="Tms Rmn"/>
      <family val="1"/>
    </font>
    <font>
      <b/>
      <sz val="10"/>
      <name val="Helv"/>
      <family val="2"/>
    </font>
    <font>
      <sz val="1"/>
      <color indexed="16"/>
      <name val="Courier"/>
      <family val="3"/>
    </font>
    <font>
      <sz val="11"/>
      <name val="Times New Roman"/>
      <family val="1"/>
    </font>
    <font>
      <sz val="9"/>
      <name val="Times New Roman"/>
      <family val="1"/>
    </font>
    <font>
      <u/>
      <sz val="10"/>
      <color indexed="36"/>
      <name val="Arial"/>
      <family val="2"/>
    </font>
    <font>
      <b/>
      <sz val="12"/>
      <color indexed="9"/>
      <name val="Tms Rmn"/>
      <family val="1"/>
    </font>
    <font>
      <b/>
      <sz val="12"/>
      <name val="Tms Rmn"/>
      <family val="1"/>
    </font>
    <font>
      <b/>
      <sz val="12"/>
      <name val="Helv"/>
      <family val="2"/>
    </font>
    <font>
      <b/>
      <sz val="1"/>
      <color indexed="16"/>
      <name val="Courier"/>
      <family val="3"/>
    </font>
    <font>
      <u/>
      <sz val="10"/>
      <color indexed="12"/>
      <name val="Arial"/>
      <family val="2"/>
    </font>
    <font>
      <b/>
      <sz val="11"/>
      <name val="Helv"/>
      <family val="2"/>
    </font>
    <font>
      <sz val="10"/>
      <name val="Univers (W1)"/>
      <family val="2"/>
    </font>
    <font>
      <b/>
      <sz val="10"/>
      <name val="MS Sans Serif"/>
      <family val="2"/>
    </font>
    <font>
      <sz val="8"/>
      <color indexed="16"/>
      <name val="Century Schoolbook"/>
      <family val="1"/>
    </font>
    <font>
      <b/>
      <sz val="11"/>
      <color indexed="18"/>
      <name val="Arial"/>
      <family val="2"/>
    </font>
    <font>
      <b/>
      <i/>
      <sz val="11"/>
      <color indexed="18"/>
      <name val="Arial"/>
      <family val="2"/>
    </font>
    <font>
      <sz val="12"/>
      <color indexed="18"/>
      <name val="MS Sans Serif"/>
      <family val="2"/>
    </font>
    <font>
      <sz val="12"/>
      <color indexed="9"/>
      <name val="MS Sans Serif"/>
      <family val="2"/>
    </font>
    <font>
      <sz val="11"/>
      <color indexed="9"/>
      <name val="Arial"/>
      <family val="2"/>
    </font>
    <font>
      <sz val="11"/>
      <name val="Arial"/>
      <family val="2"/>
    </font>
    <font>
      <b/>
      <sz val="11"/>
      <color indexed="9"/>
      <name val="Arial"/>
      <family val="2"/>
    </font>
    <font>
      <b/>
      <sz val="11"/>
      <color indexed="18"/>
      <name val="Arial Narrow"/>
      <family val="2"/>
    </font>
    <font>
      <b/>
      <sz val="11"/>
      <color indexed="9"/>
      <name val="Arial Narrow"/>
      <family val="2"/>
    </font>
    <font>
      <sz val="11"/>
      <color indexed="18"/>
      <name val="Arial"/>
      <family val="2"/>
    </font>
    <font>
      <sz val="10"/>
      <color indexed="56"/>
      <name val="Arial"/>
      <family val="2"/>
    </font>
    <font>
      <sz val="10"/>
      <color indexed="18"/>
      <name val="Arial"/>
      <family val="2"/>
    </font>
    <font>
      <sz val="10"/>
      <color indexed="9"/>
      <name val="Arial"/>
      <family val="2"/>
    </font>
    <font>
      <sz val="12"/>
      <color indexed="56"/>
      <name val="Arial"/>
      <family val="2"/>
    </font>
    <font>
      <i/>
      <sz val="12"/>
      <color indexed="56"/>
      <name val="Arial"/>
      <family val="2"/>
    </font>
    <font>
      <sz val="11"/>
      <color indexed="56"/>
      <name val="Arial"/>
      <family val="2"/>
    </font>
    <font>
      <i/>
      <sz val="11"/>
      <color indexed="56"/>
      <name val="Arial"/>
      <family val="2"/>
    </font>
    <font>
      <b/>
      <sz val="11"/>
      <color indexed="56"/>
      <name val="Arial"/>
      <family val="2"/>
    </font>
    <font>
      <b/>
      <i/>
      <sz val="11"/>
      <color indexed="56"/>
      <name val="Arial"/>
      <family val="2"/>
    </font>
    <font>
      <sz val="18"/>
      <color indexed="18"/>
      <name val="Arial"/>
      <family val="2"/>
    </font>
    <font>
      <sz val="11"/>
      <color indexed="10"/>
      <name val="Arial"/>
      <family val="2"/>
    </font>
    <font>
      <b/>
      <i/>
      <sz val="10"/>
      <name val="Times New Roman"/>
      <family val="1"/>
    </font>
    <font>
      <b/>
      <sz val="9"/>
      <name val="Times New Roman"/>
      <family val="1"/>
    </font>
    <font>
      <b/>
      <sz val="12"/>
      <color indexed="8"/>
      <name val="Tms Rmn"/>
      <family val="1"/>
    </font>
    <font>
      <sz val="11"/>
      <name val="lr oSVbN"/>
      <family val="3"/>
    </font>
    <font>
      <sz val="12"/>
      <name val="ＭＳ ゴシック"/>
      <family val="3"/>
      <charset val="128"/>
    </font>
    <font>
      <sz val="9"/>
      <name val="明朝"/>
      <family val="1"/>
      <charset val="128"/>
    </font>
    <font>
      <sz val="10"/>
      <name val="明朝"/>
      <family val="1"/>
      <charset val="128"/>
    </font>
    <font>
      <b/>
      <sz val="11"/>
      <color indexed="8"/>
      <name val="明朝"/>
      <family val="1"/>
      <charset val="128"/>
    </font>
    <font>
      <b/>
      <sz val="11"/>
      <name val="明朝"/>
      <family val="1"/>
      <charset val="128"/>
    </font>
    <font>
      <b/>
      <sz val="10"/>
      <color indexed="10"/>
      <name val="明朝"/>
      <family val="1"/>
      <charset val="128"/>
    </font>
    <font>
      <sz val="10.75"/>
      <color indexed="8"/>
      <name val="Elite Expanded"/>
      <family val="1"/>
    </font>
    <font>
      <sz val="12"/>
      <name val="ＭＳ ・団"/>
      <family val="1"/>
      <charset val="128"/>
    </font>
    <font>
      <sz val="9"/>
      <color indexed="16"/>
      <name val="明朝"/>
      <family val="1"/>
      <charset val="128"/>
    </font>
    <font>
      <sz val="14"/>
      <name val="明朝"/>
      <family val="1"/>
      <charset val="128"/>
    </font>
    <font>
      <b/>
      <sz val="14"/>
      <color indexed="9"/>
      <name val="明朝"/>
      <family val="1"/>
      <charset val="128"/>
    </font>
    <font>
      <sz val="10"/>
      <name val="ＭＳ Ｐ・団"/>
      <family val="1"/>
      <charset val="128"/>
    </font>
    <font>
      <sz val="11"/>
      <name val="ＭＳ 明朝"/>
      <family val="1"/>
      <charset val="128"/>
    </font>
    <font>
      <sz val="11"/>
      <name val="ＭＳ Ｐ明朝"/>
      <family val="1"/>
      <charset val="128"/>
    </font>
    <font>
      <sz val="8"/>
      <name val="明朝"/>
      <family val="1"/>
      <charset val="128"/>
    </font>
    <font>
      <sz val="10.75"/>
      <color indexed="8"/>
      <name val="明朝"/>
      <family val="1"/>
      <charset val="128"/>
    </font>
    <font>
      <b/>
      <sz val="10.75"/>
      <color indexed="8"/>
      <name val="明朝"/>
      <family val="1"/>
      <charset val="128"/>
    </font>
    <font>
      <sz val="11"/>
      <color indexed="8"/>
      <name val="宋体"/>
      <family val="3"/>
      <charset val="134"/>
    </font>
    <font>
      <sz val="11"/>
      <color indexed="42"/>
      <name val="宋体"/>
      <family val="3"/>
      <charset val="134"/>
    </font>
    <font>
      <sz val="12"/>
      <name val="宋体"/>
      <family val="3"/>
      <charset val="128"/>
    </font>
    <font>
      <sz val="11"/>
      <color indexed="10"/>
      <name val="宋体"/>
      <family val="3"/>
      <charset val="134"/>
    </font>
    <font>
      <sz val="11"/>
      <color indexed="17"/>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b/>
      <sz val="18"/>
      <color indexed="56"/>
      <name val="ＭＳ Ｐゴシック"/>
      <family val="3"/>
      <charset val="128"/>
    </font>
    <font>
      <b/>
      <sz val="11"/>
      <color indexed="42"/>
      <name val="宋体"/>
      <family val="3"/>
      <charset val="134"/>
    </font>
    <font>
      <b/>
      <sz val="11"/>
      <color indexed="8"/>
      <name val="宋体"/>
      <family val="3"/>
      <charset val="134"/>
    </font>
    <font>
      <b/>
      <sz val="11"/>
      <color indexed="52"/>
      <name val="宋体"/>
      <family val="3"/>
      <charset val="134"/>
    </font>
    <font>
      <b/>
      <sz val="11"/>
      <color indexed="63"/>
      <name val="宋体"/>
      <family val="3"/>
      <charset val="134"/>
    </font>
    <font>
      <sz val="11"/>
      <color indexed="62"/>
      <name val="宋体"/>
      <family val="3"/>
      <charset val="134"/>
    </font>
    <font>
      <sz val="11"/>
      <color indexed="60"/>
      <name val="宋体"/>
      <family val="3"/>
      <charset val="134"/>
    </font>
    <font>
      <sz val="11"/>
      <color indexed="52"/>
      <name val="宋体"/>
      <family val="3"/>
      <charset val="134"/>
    </font>
    <font>
      <sz val="14"/>
      <name val="‚l‚r –¾’©"/>
      <family val="1"/>
      <charset val="128"/>
    </font>
    <font>
      <sz val="11"/>
      <name val="‚l‚r –¾’©"/>
      <family val="1"/>
      <charset val="128"/>
    </font>
    <font>
      <sz val="10"/>
      <color theme="1"/>
      <name val="ＭＳ Ｐゴシック"/>
      <family val="3"/>
      <charset val="128"/>
    </font>
    <font>
      <sz val="10"/>
      <color theme="1"/>
      <name val="游ゴシック"/>
      <family val="3"/>
      <charset val="128"/>
    </font>
    <font>
      <sz val="10"/>
      <color rgb="FFFF0000"/>
      <name val="Meiryo UI"/>
      <family val="3"/>
      <charset val="128"/>
    </font>
    <font>
      <sz val="11"/>
      <color rgb="FF000000"/>
      <name val="Meiryo UI"/>
      <family val="3"/>
      <charset val="128"/>
    </font>
    <font>
      <b/>
      <sz val="11"/>
      <color rgb="FF000000"/>
      <name val="Meiryo UI"/>
      <family val="3"/>
      <charset val="128"/>
    </font>
    <font>
      <sz val="11"/>
      <color theme="1"/>
      <name val="ＭＳ Ｐゴシック"/>
      <family val="2"/>
      <charset val="134"/>
      <scheme val="minor"/>
    </font>
  </fonts>
  <fills count="59">
    <fill>
      <patternFill patternType="none"/>
    </fill>
    <fill>
      <patternFill patternType="gray125"/>
    </fill>
    <fill>
      <patternFill patternType="solid">
        <fgColor rgb="FFFBC9D0"/>
        <bgColor indexed="64"/>
      </patternFill>
    </fill>
    <fill>
      <patternFill patternType="solid">
        <fgColor rgb="FFF8EA92"/>
        <bgColor indexed="64"/>
      </patternFill>
    </fill>
    <fill>
      <patternFill patternType="solid">
        <fgColor rgb="FFBDF1EC"/>
        <bgColor indexed="64"/>
      </patternFill>
    </fill>
    <fill>
      <patternFill patternType="solid">
        <fgColor rgb="FFC9BEEC"/>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0"/>
        <bgColor indexed="64"/>
      </patternFill>
    </fill>
    <fill>
      <patternFill patternType="solid">
        <fgColor rgb="FFFFC000"/>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FFFF99"/>
        <bgColor indexed="64"/>
      </patternFill>
    </fill>
    <fill>
      <patternFill patternType="solid">
        <fgColor theme="6" tint="0.59999389629810485"/>
        <bgColor indexed="64"/>
      </patternFill>
    </fill>
    <fill>
      <patternFill patternType="solid">
        <fgColor indexed="45"/>
      </patternFill>
    </fill>
    <fill>
      <patternFill patternType="solid">
        <fgColor indexed="42"/>
      </patternFill>
    </fill>
    <fill>
      <patternFill patternType="solid">
        <fgColor indexed="22"/>
        <bgColor indexed="64"/>
      </patternFill>
    </fill>
    <fill>
      <patternFill patternType="solid">
        <fgColor indexed="65"/>
        <bgColor indexed="64"/>
      </patternFill>
    </fill>
    <fill>
      <patternFill patternType="solid">
        <fgColor indexed="26"/>
        <bgColor indexed="64"/>
      </patternFill>
    </fill>
    <fill>
      <patternFill patternType="solid">
        <fgColor indexed="43"/>
        <bgColor indexed="64"/>
      </patternFill>
    </fill>
    <fill>
      <patternFill patternType="solid">
        <fgColor indexed="54"/>
        <bgColor indexed="64"/>
      </patternFill>
    </fill>
    <fill>
      <patternFill patternType="solid">
        <fgColor indexed="10"/>
        <bgColor indexed="64"/>
      </patternFill>
    </fill>
    <fill>
      <patternFill patternType="solid">
        <fgColor indexed="21"/>
        <bgColor indexed="64"/>
      </patternFill>
    </fill>
    <fill>
      <patternFill patternType="lightUp">
        <fgColor indexed="54"/>
        <bgColor indexed="41"/>
      </patternFill>
    </fill>
    <fill>
      <patternFill patternType="solid">
        <fgColor indexed="41"/>
        <bgColor indexed="64"/>
      </patternFill>
    </fill>
    <fill>
      <patternFill patternType="solid">
        <fgColor indexed="44"/>
        <bgColor indexed="64"/>
      </patternFill>
    </fill>
    <fill>
      <patternFill patternType="solid">
        <fgColor indexed="9"/>
        <bgColor indexed="64"/>
      </patternFill>
    </fill>
    <fill>
      <patternFill patternType="lightGray">
        <fgColor indexed="21"/>
      </patternFill>
    </fill>
    <fill>
      <patternFill patternType="darkGray">
        <fgColor indexed="22"/>
      </patternFill>
    </fill>
    <fill>
      <patternFill patternType="mediumGray">
        <fgColor indexed="13"/>
      </patternFill>
    </fill>
    <fill>
      <patternFill patternType="mediumGray">
        <fgColor indexed="10"/>
      </patternFill>
    </fill>
    <fill>
      <patternFill patternType="mediumGray">
        <fgColor indexed="11"/>
      </patternFill>
    </fill>
    <fill>
      <patternFill patternType="mediumGray">
        <fgColor indexed="15"/>
      </patternFill>
    </fill>
    <fill>
      <patternFill patternType="mediumGray">
        <fgColor indexed="20"/>
      </patternFill>
    </fill>
    <fill>
      <patternFill patternType="mediumGray">
        <fgColor indexed="21"/>
      </patternFill>
    </fill>
    <fill>
      <patternFill patternType="solid">
        <fgColor indexed="23"/>
        <bgColor indexed="9"/>
      </patternFill>
    </fill>
    <fill>
      <patternFill patternType="solid">
        <fgColor indexed="23"/>
      </patternFill>
    </fill>
    <fill>
      <patternFill patternType="solid">
        <fgColor indexed="31"/>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6"/>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22"/>
      </patternFill>
    </fill>
    <fill>
      <patternFill patternType="solid">
        <fgColor indexed="43"/>
      </patternFill>
    </fill>
    <fill>
      <patternFill patternType="solid">
        <fgColor theme="7" tint="0.79998168889431442"/>
        <bgColor indexed="64"/>
      </patternFill>
    </fill>
  </fills>
  <borders count="68">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right style="thin">
        <color auto="1"/>
      </right>
      <top style="thin">
        <color auto="1"/>
      </top>
      <bottom style="thin">
        <color auto="1"/>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auto="1"/>
      </left>
      <right style="hair">
        <color auto="1"/>
      </right>
      <top style="thin">
        <color auto="1"/>
      </top>
      <bottom style="double">
        <color indexed="64"/>
      </bottom>
      <diagonal/>
    </border>
    <border>
      <left style="hair">
        <color auto="1"/>
      </left>
      <right style="thin">
        <color auto="1"/>
      </right>
      <top style="thin">
        <color auto="1"/>
      </top>
      <bottom style="double">
        <color indexed="64"/>
      </bottom>
      <diagonal/>
    </border>
    <border>
      <left style="thin">
        <color indexed="64"/>
      </left>
      <right/>
      <top/>
      <bottom style="double">
        <color indexed="64"/>
      </bottom>
      <diagonal/>
    </border>
    <border>
      <left style="thin">
        <color auto="1"/>
      </left>
      <right style="hair">
        <color auto="1"/>
      </right>
      <top style="double">
        <color indexed="64"/>
      </top>
      <bottom style="hair">
        <color auto="1"/>
      </bottom>
      <diagonal/>
    </border>
    <border>
      <left style="hair">
        <color auto="1"/>
      </left>
      <right style="hair">
        <color auto="1"/>
      </right>
      <top style="double">
        <color indexed="64"/>
      </top>
      <bottom style="hair">
        <color auto="1"/>
      </bottom>
      <diagonal/>
    </border>
    <border>
      <left style="hair">
        <color auto="1"/>
      </left>
      <right style="thin">
        <color auto="1"/>
      </right>
      <top style="double">
        <color indexed="64"/>
      </top>
      <bottom style="hair">
        <color auto="1"/>
      </bottom>
      <diagonal/>
    </border>
    <border>
      <left style="hair">
        <color auto="1"/>
      </left>
      <right/>
      <top style="double">
        <color indexed="64"/>
      </top>
      <bottom style="hair">
        <color auto="1"/>
      </bottom>
      <diagonal/>
    </border>
    <border>
      <left style="hair">
        <color indexed="64"/>
      </left>
      <right/>
      <top style="hair">
        <color indexed="64"/>
      </top>
      <bottom style="hair">
        <color indexed="64"/>
      </bottom>
      <diagonal/>
    </border>
    <border>
      <left style="hair">
        <color indexed="64"/>
      </left>
      <right/>
      <top style="hair">
        <color indexed="64"/>
      </top>
      <bottom style="thin">
        <color indexed="64"/>
      </bottom>
      <diagonal/>
    </border>
    <border>
      <left/>
      <right style="hair">
        <color auto="1"/>
      </right>
      <top style="double">
        <color indexed="64"/>
      </top>
      <bottom style="hair">
        <color auto="1"/>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style="medium">
        <color indexed="64"/>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top style="thin">
        <color auto="1"/>
      </top>
      <bottom style="medium">
        <color indexed="64"/>
      </bottom>
      <diagonal/>
    </border>
    <border>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thin">
        <color indexed="64"/>
      </bottom>
      <diagonal/>
    </border>
    <border>
      <left/>
      <right/>
      <top style="medium">
        <color indexed="64"/>
      </top>
      <bottom style="medium">
        <color indexed="64"/>
      </bottom>
      <diagonal/>
    </border>
    <border>
      <left/>
      <right/>
      <top/>
      <bottom style="medium">
        <color indexed="64"/>
      </bottom>
      <diagonal/>
    </border>
    <border>
      <left/>
      <right/>
      <top/>
      <bottom style="thick">
        <color indexed="44"/>
      </bottom>
      <diagonal/>
    </border>
    <border>
      <left/>
      <right/>
      <top style="hair">
        <color indexed="64"/>
      </top>
      <bottom/>
      <diagonal/>
    </border>
    <border>
      <left/>
      <right/>
      <top style="double">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dotted">
        <color indexed="64"/>
      </bottom>
      <diagonal/>
    </border>
    <border>
      <left style="thick">
        <color indexed="23"/>
      </left>
      <right style="thick">
        <color indexed="9"/>
      </right>
      <top style="thick">
        <color indexed="23"/>
      </top>
      <bottom style="thick">
        <color indexed="9"/>
      </bottom>
      <diagonal/>
    </border>
    <border>
      <left style="thick">
        <color indexed="9"/>
      </left>
      <right style="thick">
        <color indexed="23"/>
      </right>
      <top style="thick">
        <color indexed="9"/>
      </top>
      <bottom style="thick">
        <color indexed="23"/>
      </bottom>
      <diagonal/>
    </border>
    <border>
      <left/>
      <right/>
      <top style="thin">
        <color indexed="64"/>
      </top>
      <bottom/>
      <diagonal/>
    </border>
    <border>
      <left style="thick">
        <color indexed="9"/>
      </left>
      <right style="thick">
        <color indexed="8"/>
      </right>
      <top style="thick">
        <color indexed="9"/>
      </top>
      <bottom style="thick">
        <color indexed="8"/>
      </bottom>
      <diagonal/>
    </border>
    <border>
      <left style="hair">
        <color indexed="64"/>
      </left>
      <right/>
      <top/>
      <bottom style="hair">
        <color indexed="64"/>
      </bottom>
      <diagonal/>
    </border>
    <border>
      <left/>
      <right/>
      <top style="hair">
        <color indexed="64"/>
      </top>
      <bottom style="hair">
        <color indexed="64"/>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double">
        <color indexed="52"/>
      </bottom>
      <diagonal/>
    </border>
    <border>
      <left/>
      <right/>
      <top style="thin">
        <color indexed="64"/>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right/>
      <top style="thin">
        <color indexed="64"/>
      </top>
      <bottom style="dotted">
        <color indexed="64"/>
      </bottom>
      <diagonal/>
    </border>
    <border>
      <left style="thin">
        <color indexed="64"/>
      </left>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style="hair">
        <color auto="1"/>
      </left>
      <right style="hair">
        <color auto="1"/>
      </right>
      <top/>
      <bottom style="hair">
        <color auto="1"/>
      </bottom>
      <diagonal/>
    </border>
  </borders>
  <cellStyleXfs count="2780">
    <xf numFmtId="0" fontId="0" fillId="0" borderId="0">
      <alignment vertical="center"/>
    </xf>
    <xf numFmtId="0" fontId="5" fillId="0" borderId="0">
      <alignment vertical="center"/>
    </xf>
    <xf numFmtId="0" fontId="6" fillId="0" borderId="0">
      <alignment vertical="center"/>
    </xf>
    <xf numFmtId="9" fontId="8" fillId="0" borderId="0" applyFont="0" applyFill="0" applyBorder="0" applyAlignment="0" applyProtection="0">
      <alignment vertical="center"/>
    </xf>
    <xf numFmtId="0" fontId="9" fillId="0" borderId="0"/>
    <xf numFmtId="38" fontId="8" fillId="0" borderId="0" applyFont="0" applyFill="0" applyBorder="0" applyAlignment="0" applyProtection="0">
      <alignment vertical="center"/>
    </xf>
    <xf numFmtId="0" fontId="12" fillId="0" borderId="0">
      <alignment vertical="center"/>
    </xf>
    <xf numFmtId="0" fontId="22" fillId="0" borderId="0">
      <alignment vertical="center"/>
    </xf>
    <xf numFmtId="0" fontId="23" fillId="0" borderId="0"/>
    <xf numFmtId="0" fontId="9" fillId="0" borderId="0"/>
    <xf numFmtId="0" fontId="22" fillId="0" borderId="0">
      <alignment vertical="center"/>
    </xf>
    <xf numFmtId="38" fontId="9" fillId="0" borderId="0" applyFont="0" applyFill="0" applyBorder="0" applyAlignment="0" applyProtection="0"/>
    <xf numFmtId="38" fontId="22" fillId="0" borderId="0" applyFont="0" applyFill="0" applyBorder="0" applyAlignment="0" applyProtection="0">
      <alignment vertical="center"/>
    </xf>
    <xf numFmtId="0" fontId="9" fillId="0" borderId="0"/>
    <xf numFmtId="0" fontId="9" fillId="0" borderId="0">
      <alignment vertical="center"/>
    </xf>
    <xf numFmtId="9" fontId="47" fillId="0" borderId="0" applyFont="0" applyFill="0" applyBorder="0" applyAlignment="0" applyProtection="0"/>
    <xf numFmtId="0" fontId="62" fillId="0" borderId="0"/>
    <xf numFmtId="0" fontId="103" fillId="0" borderId="0"/>
    <xf numFmtId="185" fontId="48" fillId="0" borderId="0" applyFont="0" applyFill="0" applyBorder="0" applyAlignment="0" applyProtection="0"/>
    <xf numFmtId="6" fontId="9" fillId="0" borderId="0" applyFont="0" applyFill="0" applyBorder="0" applyAlignment="0" applyProtection="0"/>
    <xf numFmtId="186" fontId="48" fillId="0" borderId="0" applyFont="0" applyFill="0" applyBorder="0" applyAlignment="0" applyProtection="0"/>
    <xf numFmtId="10" fontId="48" fillId="0" borderId="0" applyFont="0" applyFill="0" applyBorder="0" applyAlignment="0" applyProtection="0"/>
    <xf numFmtId="40" fontId="49" fillId="0" borderId="0" applyFont="0" applyFill="0" applyBorder="0" applyAlignment="0" applyProtection="0"/>
    <xf numFmtId="0" fontId="63" fillId="0" borderId="0">
      <alignment horizontal="center" wrapText="1"/>
      <protection locked="0"/>
    </xf>
    <xf numFmtId="0" fontId="51" fillId="0" borderId="0"/>
    <xf numFmtId="0" fontId="64" fillId="0" borderId="0" applyNumberFormat="0" applyFill="0" applyBorder="0" applyAlignment="0" applyProtection="0"/>
    <xf numFmtId="184" fontId="38" fillId="0" borderId="0" applyFill="0" applyBorder="0" applyAlignment="0"/>
    <xf numFmtId="0" fontId="65" fillId="0" borderId="0"/>
    <xf numFmtId="0" fontId="52" fillId="0" borderId="35" applyNumberFormat="0" applyFill="0" applyProtection="0">
      <alignment horizontal="center"/>
    </xf>
    <xf numFmtId="38" fontId="53" fillId="0" borderId="0" applyFont="0" applyFill="0" applyBorder="0" applyAlignment="0" applyProtection="0"/>
    <xf numFmtId="37" fontId="48" fillId="0" borderId="0" applyFont="0" applyFill="0" applyBorder="0" applyAlignment="0" applyProtection="0"/>
    <xf numFmtId="187" fontId="48" fillId="0" borderId="0" applyFont="0" applyFill="0" applyBorder="0" applyAlignment="0" applyProtection="0"/>
    <xf numFmtId="39" fontId="48" fillId="0" borderId="0" applyFont="0" applyFill="0" applyBorder="0" applyAlignment="0" applyProtection="0"/>
    <xf numFmtId="40" fontId="53" fillId="0" borderId="0" applyFont="0" applyFill="0" applyBorder="0" applyAlignment="0" applyProtection="0"/>
    <xf numFmtId="193" fontId="66" fillId="0" borderId="0">
      <protection locked="0"/>
    </xf>
    <xf numFmtId="188" fontId="53" fillId="0" borderId="0" applyFont="0" applyFill="0" applyBorder="0" applyAlignment="0" applyProtection="0"/>
    <xf numFmtId="189" fontId="48" fillId="0" borderId="0" applyFont="0" applyFill="0" applyBorder="0" applyAlignment="0" applyProtection="0"/>
    <xf numFmtId="190" fontId="48" fillId="0" borderId="0" applyFont="0" applyFill="0" applyBorder="0" applyAlignment="0" applyProtection="0"/>
    <xf numFmtId="191" fontId="53" fillId="0" borderId="0" applyFont="0" applyFill="0" applyBorder="0" applyAlignment="0" applyProtection="0"/>
    <xf numFmtId="193" fontId="66" fillId="0" borderId="0">
      <protection locked="0"/>
    </xf>
    <xf numFmtId="193" fontId="66" fillId="0" borderId="0">
      <protection locked="0"/>
    </xf>
    <xf numFmtId="43" fontId="67" fillId="0" borderId="0" applyFont="0" applyFill="0" applyBorder="0" applyAlignment="0" applyProtection="0"/>
    <xf numFmtId="0" fontId="68" fillId="0" borderId="0">
      <alignment horizontal="left"/>
    </xf>
    <xf numFmtId="193" fontId="66" fillId="0" borderId="0">
      <protection locked="0"/>
    </xf>
    <xf numFmtId="0" fontId="69" fillId="0" borderId="0" applyNumberFormat="0" applyFill="0" applyBorder="0" applyAlignment="0" applyProtection="0">
      <alignment vertical="top"/>
      <protection locked="0"/>
    </xf>
    <xf numFmtId="38" fontId="54" fillId="17" borderId="0" applyNumberFormat="0" applyBorder="0" applyAlignment="0" applyProtection="0"/>
    <xf numFmtId="0" fontId="70" fillId="18" borderId="0"/>
    <xf numFmtId="0" fontId="71" fillId="0" borderId="0"/>
    <xf numFmtId="0" fontId="72" fillId="0" borderId="0">
      <alignment horizontal="left"/>
    </xf>
    <xf numFmtId="0" fontId="39" fillId="0" borderId="36" applyNumberFormat="0" applyAlignment="0" applyProtection="0">
      <alignment horizontal="left" vertical="center"/>
    </xf>
    <xf numFmtId="0" fontId="39" fillId="0" borderId="4">
      <alignment horizontal="left" vertical="center"/>
    </xf>
    <xf numFmtId="193" fontId="73" fillId="0" borderId="0">
      <protection locked="0"/>
    </xf>
    <xf numFmtId="193" fontId="73" fillId="0" borderId="0">
      <protection locked="0"/>
    </xf>
    <xf numFmtId="0" fontId="74" fillId="0" borderId="0" applyNumberFormat="0" applyFill="0" applyBorder="0" applyAlignment="0" applyProtection="0">
      <alignment vertical="top"/>
      <protection locked="0"/>
    </xf>
    <xf numFmtId="0" fontId="5" fillId="0" borderId="0" applyBorder="0"/>
    <xf numFmtId="10" fontId="54" fillId="19" borderId="3" applyNumberFormat="0" applyBorder="0" applyAlignment="0" applyProtection="0"/>
    <xf numFmtId="0" fontId="5" fillId="0" borderId="0"/>
    <xf numFmtId="0" fontId="55" fillId="0" borderId="0"/>
    <xf numFmtId="194" fontId="40" fillId="0" borderId="0" applyFont="0" applyFill="0" applyBorder="0" applyAlignment="0" applyProtection="0"/>
    <xf numFmtId="195" fontId="40" fillId="0" borderId="0" applyFont="0" applyFill="0" applyBorder="0" applyAlignment="0" applyProtection="0"/>
    <xf numFmtId="0" fontId="47" fillId="0" borderId="0">
      <alignment vertical="center"/>
    </xf>
    <xf numFmtId="0" fontId="75" fillId="0" borderId="37"/>
    <xf numFmtId="196" fontId="40" fillId="0" borderId="0" applyFont="0" applyFill="0" applyBorder="0" applyAlignment="0" applyProtection="0"/>
    <xf numFmtId="197" fontId="40" fillId="0" borderId="0" applyFont="0" applyFill="0" applyBorder="0" applyAlignment="0" applyProtection="0"/>
    <xf numFmtId="192" fontId="9" fillId="0" borderId="0"/>
    <xf numFmtId="0" fontId="76" fillId="0" borderId="35"/>
    <xf numFmtId="14" fontId="63" fillId="0" borderId="0">
      <alignment horizontal="center" wrapText="1"/>
      <protection locked="0"/>
    </xf>
    <xf numFmtId="10" fontId="40" fillId="0" borderId="0" applyFont="0" applyFill="0" applyBorder="0" applyAlignment="0" applyProtection="0"/>
    <xf numFmtId="0" fontId="53" fillId="0" borderId="0" applyFont="0" applyFill="0" applyBorder="0" applyAlignment="0" applyProtection="0"/>
    <xf numFmtId="4" fontId="68" fillId="0" borderId="0">
      <alignment horizontal="right"/>
    </xf>
    <xf numFmtId="0" fontId="53" fillId="0" borderId="0" applyNumberFormat="0" applyFont="0" applyFill="0" applyBorder="0" applyAlignment="0" applyProtection="0">
      <alignment horizontal="left"/>
    </xf>
    <xf numFmtId="0" fontId="77" fillId="0" borderId="37">
      <alignment horizontal="center"/>
    </xf>
    <xf numFmtId="4" fontId="78" fillId="0" borderId="0">
      <alignment horizontal="right"/>
    </xf>
    <xf numFmtId="4" fontId="79" fillId="20" borderId="38" applyNumberFormat="0" applyProtection="0">
      <alignment vertical="center"/>
    </xf>
    <xf numFmtId="4" fontId="80" fillId="20" borderId="38" applyNumberFormat="0" applyProtection="0">
      <alignment vertical="center"/>
    </xf>
    <xf numFmtId="4" fontId="81" fillId="20" borderId="38" applyNumberFormat="0" applyProtection="0">
      <alignment horizontal="left" vertical="center"/>
    </xf>
    <xf numFmtId="4" fontId="82" fillId="21" borderId="38" applyNumberFormat="0" applyProtection="0">
      <alignment horizontal="left" vertical="center"/>
    </xf>
    <xf numFmtId="4" fontId="83" fillId="22" borderId="38" applyNumberFormat="0" applyProtection="0">
      <alignment vertical="center"/>
    </xf>
    <xf numFmtId="4" fontId="84" fillId="17" borderId="38" applyNumberFormat="0" applyProtection="0">
      <alignment vertical="center"/>
    </xf>
    <xf numFmtId="4" fontId="83" fillId="23" borderId="38" applyNumberFormat="0" applyProtection="0">
      <alignment vertical="center"/>
    </xf>
    <xf numFmtId="4" fontId="85" fillId="22" borderId="38" applyNumberFormat="0" applyProtection="0">
      <alignment vertical="center"/>
    </xf>
    <xf numFmtId="4" fontId="86" fillId="24" borderId="38" applyNumberFormat="0" applyProtection="0">
      <alignment horizontal="left" vertical="center"/>
    </xf>
    <xf numFmtId="4" fontId="86" fillId="25" borderId="38" applyNumberFormat="0" applyProtection="0">
      <alignment horizontal="left" vertical="center"/>
    </xf>
    <xf numFmtId="4" fontId="87" fillId="21" borderId="38" applyNumberFormat="0" applyProtection="0">
      <alignment horizontal="left" vertical="center"/>
    </xf>
    <xf numFmtId="4" fontId="88" fillId="26" borderId="38" applyNumberFormat="0" applyProtection="0">
      <alignment vertical="center"/>
    </xf>
    <xf numFmtId="4" fontId="89" fillId="27" borderId="38" applyNumberFormat="0" applyProtection="0">
      <alignment horizontal="left" vertical="center"/>
    </xf>
    <xf numFmtId="4" fontId="90" fillId="25" borderId="38" applyNumberFormat="0" applyProtection="0">
      <alignment horizontal="left" vertical="center"/>
    </xf>
    <xf numFmtId="4" fontId="91" fillId="21" borderId="38" applyNumberFormat="0" applyProtection="0">
      <alignment horizontal="left" vertical="center"/>
    </xf>
    <xf numFmtId="4" fontId="92" fillId="27" borderId="38" applyNumberFormat="0" applyProtection="0">
      <alignment vertical="center"/>
    </xf>
    <xf numFmtId="4" fontId="93" fillId="27" borderId="38" applyNumberFormat="0" applyProtection="0">
      <alignment vertical="center"/>
    </xf>
    <xf numFmtId="4" fontId="86" fillId="25" borderId="38" applyNumberFormat="0" applyProtection="0">
      <alignment horizontal="left" vertical="center"/>
    </xf>
    <xf numFmtId="4" fontId="94" fillId="27" borderId="38" applyNumberFormat="0" applyProtection="0">
      <alignment vertical="center"/>
    </xf>
    <xf numFmtId="4" fontId="95" fillId="27" borderId="38" applyNumberFormat="0" applyProtection="0">
      <alignment vertical="center"/>
    </xf>
    <xf numFmtId="4" fontId="86" fillId="25" borderId="38" applyNumberFormat="0" applyProtection="0">
      <alignment horizontal="left" vertical="center"/>
    </xf>
    <xf numFmtId="4" fontId="96" fillId="27" borderId="38" applyNumberFormat="0" applyProtection="0">
      <alignment vertical="center"/>
    </xf>
    <xf numFmtId="4" fontId="97" fillId="27" borderId="38" applyNumberFormat="0" applyProtection="0">
      <alignment vertical="center"/>
    </xf>
    <xf numFmtId="4" fontId="86" fillId="19" borderId="38" applyNumberFormat="0" applyProtection="0">
      <alignment horizontal="left" vertical="center"/>
    </xf>
    <xf numFmtId="4" fontId="98" fillId="26" borderId="38" applyNumberFormat="0" applyProtection="0">
      <alignment horizontal="left"/>
    </xf>
    <xf numFmtId="4" fontId="99" fillId="27" borderId="38" applyNumberFormat="0" applyProtection="0">
      <alignment vertical="center"/>
    </xf>
    <xf numFmtId="0" fontId="100" fillId="0" borderId="0">
      <alignment horizontal="left"/>
    </xf>
    <xf numFmtId="0" fontId="67" fillId="0" borderId="0"/>
    <xf numFmtId="0" fontId="75" fillId="0" borderId="0"/>
    <xf numFmtId="0" fontId="101" fillId="0" borderId="0">
      <alignment horizontal="center"/>
    </xf>
    <xf numFmtId="0" fontId="102" fillId="0" borderId="39"/>
    <xf numFmtId="0" fontId="64" fillId="0" borderId="0"/>
    <xf numFmtId="193" fontId="66" fillId="0" borderId="40">
      <protection locked="0"/>
    </xf>
    <xf numFmtId="0" fontId="60" fillId="0" borderId="0"/>
    <xf numFmtId="198" fontId="67" fillId="0" borderId="0" applyFont="0" applyFill="0" applyBorder="0" applyAlignment="0" applyProtection="0"/>
    <xf numFmtId="199" fontId="104" fillId="0" borderId="0"/>
    <xf numFmtId="0" fontId="105" fillId="0" borderId="3"/>
    <xf numFmtId="0" fontId="105" fillId="28" borderId="41"/>
    <xf numFmtId="0" fontId="105" fillId="0" borderId="3">
      <protection locked="0" hidden="1"/>
    </xf>
    <xf numFmtId="0" fontId="5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06" fillId="0" borderId="42" applyBorder="0"/>
    <xf numFmtId="0" fontId="9" fillId="0" borderId="0">
      <alignment horizontal="center" vertical="center" wrapText="1"/>
    </xf>
    <xf numFmtId="9" fontId="9" fillId="0" borderId="0" applyFont="0" applyFill="0" applyBorder="0" applyAlignment="0" applyProtection="0"/>
    <xf numFmtId="0" fontId="49" fillId="29" borderId="43"/>
    <xf numFmtId="0" fontId="107" fillId="30" borderId="44">
      <alignment horizontal="center" vertical="center"/>
    </xf>
    <xf numFmtId="0" fontId="107" fillId="31" borderId="44">
      <alignment horizontal="center" vertical="center"/>
    </xf>
    <xf numFmtId="0" fontId="107" fillId="32" borderId="44">
      <alignment horizontal="center" vertical="center"/>
    </xf>
    <xf numFmtId="0" fontId="107" fillId="33" borderId="44">
      <alignment horizontal="center" vertical="center"/>
    </xf>
    <xf numFmtId="0" fontId="107" fillId="34" borderId="44">
      <alignment horizontal="center" vertical="center"/>
    </xf>
    <xf numFmtId="0" fontId="49" fillId="0" borderId="3"/>
    <xf numFmtId="0" fontId="108" fillId="28" borderId="41"/>
    <xf numFmtId="0" fontId="109" fillId="0" borderId="3">
      <alignment vertical="center"/>
    </xf>
    <xf numFmtId="0" fontId="105" fillId="0" borderId="3">
      <protection locked="0"/>
    </xf>
    <xf numFmtId="0" fontId="110" fillId="0" borderId="0" applyNumberFormat="0" applyFill="0" applyBorder="0" applyAlignment="0" applyProtection="0">
      <alignment horizontal="left"/>
      <protection locked="0"/>
    </xf>
    <xf numFmtId="0" fontId="41" fillId="0" borderId="45" applyFill="0" applyBorder="0" applyAlignment="0"/>
    <xf numFmtId="0" fontId="42" fillId="0" borderId="0" applyNumberFormat="0" applyFill="0" applyBorder="0" applyAlignment="0" applyProtection="0">
      <alignment vertical="center"/>
    </xf>
    <xf numFmtId="40" fontId="9" fillId="0" borderId="0" applyFont="0" applyFill="0" applyBorder="0" applyAlignment="0" applyProtection="0"/>
    <xf numFmtId="38" fontId="111" fillId="0" borderId="0" applyFont="0" applyFill="0" applyBorder="0" applyProtection="0">
      <alignment vertical="center"/>
    </xf>
    <xf numFmtId="40" fontId="5" fillId="0" borderId="0" applyNumberFormat="0" applyFont="0" applyFill="0" applyBorder="0"/>
    <xf numFmtId="38" fontId="58" fillId="0" borderId="0" applyFont="0" applyFill="0" applyBorder="0" applyAlignment="0" applyProtection="0">
      <alignment vertical="center"/>
    </xf>
    <xf numFmtId="38" fontId="9" fillId="0" borderId="0" applyFont="0" applyFill="0" applyBorder="0" applyAlignment="0" applyProtection="0"/>
    <xf numFmtId="38" fontId="9" fillId="0" borderId="0" applyFont="0" applyFill="0" applyBorder="0" applyAlignment="0" applyProtection="0"/>
    <xf numFmtId="38" fontId="9" fillId="0" borderId="0" applyFont="0" applyFill="0" applyBorder="0" applyAlignment="0" applyProtection="0">
      <alignment vertical="center"/>
    </xf>
    <xf numFmtId="0" fontId="112" fillId="30" borderId="41">
      <alignment horizontal="center" vertical="center"/>
    </xf>
    <xf numFmtId="0" fontId="113" fillId="35" borderId="36">
      <alignment vertical="center"/>
    </xf>
    <xf numFmtId="0" fontId="114" fillId="36" borderId="46">
      <alignment horizontal="distributed" vertical="center"/>
    </xf>
    <xf numFmtId="0" fontId="114" fillId="37" borderId="46">
      <alignment horizontal="distributed" vertical="center"/>
    </xf>
    <xf numFmtId="0" fontId="114" fillId="37" borderId="46">
      <alignment horizontal="distributed" vertical="center"/>
    </xf>
    <xf numFmtId="0" fontId="114" fillId="37" borderId="46">
      <alignment horizontal="distributed" vertical="center"/>
    </xf>
    <xf numFmtId="0" fontId="114" fillId="37" borderId="46">
      <alignment horizontal="distributed" vertical="center"/>
    </xf>
    <xf numFmtId="200" fontId="106" fillId="0" borderId="47">
      <protection locked="0"/>
    </xf>
    <xf numFmtId="200" fontId="106" fillId="0" borderId="47">
      <protection locked="0"/>
    </xf>
    <xf numFmtId="176" fontId="61" fillId="0" borderId="47">
      <protection locked="0"/>
    </xf>
    <xf numFmtId="176" fontId="61"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0" fontId="106" fillId="0" borderId="47">
      <protection locked="0"/>
    </xf>
    <xf numFmtId="200" fontId="106"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0" fontId="106" fillId="0" borderId="47">
      <protection locked="0"/>
    </xf>
    <xf numFmtId="200" fontId="106" fillId="0" borderId="47">
      <protection locked="0"/>
    </xf>
    <xf numFmtId="200" fontId="106" fillId="0" borderId="47">
      <protection locked="0"/>
    </xf>
    <xf numFmtId="200" fontId="106" fillId="0" borderId="47">
      <protection locked="0"/>
    </xf>
    <xf numFmtId="200" fontId="106" fillId="0" borderId="47">
      <protection locked="0"/>
    </xf>
    <xf numFmtId="200" fontId="106" fillId="0" borderId="47">
      <protection locked="0"/>
    </xf>
    <xf numFmtId="200" fontId="106" fillId="0" borderId="47">
      <protection locked="0"/>
    </xf>
    <xf numFmtId="200" fontId="106" fillId="0" borderId="47">
      <protection locked="0"/>
    </xf>
    <xf numFmtId="200" fontId="106" fillId="0" borderId="47">
      <protection locked="0"/>
    </xf>
    <xf numFmtId="200" fontId="106" fillId="0" borderId="47">
      <protection locked="0"/>
    </xf>
    <xf numFmtId="200" fontId="106" fillId="0" borderId="47">
      <protection locked="0"/>
    </xf>
    <xf numFmtId="200" fontId="106"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176"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0" fontId="106" fillId="0" borderId="47">
      <protection locked="0"/>
    </xf>
    <xf numFmtId="200" fontId="106" fillId="0" borderId="47">
      <protection locked="0"/>
    </xf>
    <xf numFmtId="200" fontId="106" fillId="0" borderId="47">
      <protection locked="0"/>
    </xf>
    <xf numFmtId="200" fontId="106" fillId="0" borderId="47">
      <protection locked="0"/>
    </xf>
    <xf numFmtId="200" fontId="106" fillId="0" borderId="47">
      <protection locked="0"/>
    </xf>
    <xf numFmtId="200" fontId="106" fillId="0" borderId="47">
      <protection locked="0"/>
    </xf>
    <xf numFmtId="200" fontId="106" fillId="0" borderId="47">
      <protection locked="0"/>
    </xf>
    <xf numFmtId="200" fontId="106" fillId="0" borderId="47">
      <protection locked="0"/>
    </xf>
    <xf numFmtId="200" fontId="106" fillId="0" borderId="47">
      <protection locked="0"/>
    </xf>
    <xf numFmtId="200" fontId="106" fillId="0" borderId="47">
      <protection locked="0"/>
    </xf>
    <xf numFmtId="200" fontId="106" fillId="0" borderId="47">
      <protection locked="0"/>
    </xf>
    <xf numFmtId="200" fontId="106" fillId="0" borderId="47">
      <protection locked="0"/>
    </xf>
    <xf numFmtId="200" fontId="106" fillId="0" borderId="47">
      <protection locked="0"/>
    </xf>
    <xf numFmtId="200" fontId="106" fillId="0" borderId="47">
      <protection locked="0"/>
    </xf>
    <xf numFmtId="200" fontId="106" fillId="0" borderId="47">
      <protection locked="0"/>
    </xf>
    <xf numFmtId="200" fontId="106" fillId="0" borderId="47">
      <protection locked="0"/>
    </xf>
    <xf numFmtId="200" fontId="106" fillId="0" borderId="47">
      <protection locked="0"/>
    </xf>
    <xf numFmtId="200" fontId="106" fillId="0" borderId="47">
      <protection locked="0"/>
    </xf>
    <xf numFmtId="200" fontId="106" fillId="0" borderId="47">
      <protection locked="0"/>
    </xf>
    <xf numFmtId="200" fontId="106" fillId="0" borderId="47">
      <protection locked="0"/>
    </xf>
    <xf numFmtId="200" fontId="106" fillId="0" borderId="47">
      <protection locked="0"/>
    </xf>
    <xf numFmtId="200" fontId="106" fillId="0" borderId="47">
      <protection locked="0"/>
    </xf>
    <xf numFmtId="200" fontId="106" fillId="0" borderId="47">
      <protection locked="0"/>
    </xf>
    <xf numFmtId="200" fontId="106"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202" fontId="9" fillId="0" borderId="47">
      <protection locked="0"/>
    </xf>
    <xf numFmtId="0" fontId="106" fillId="0" borderId="47">
      <protection locked="0"/>
    </xf>
    <xf numFmtId="0" fontId="106" fillId="0" borderId="47">
      <protection locked="0"/>
    </xf>
    <xf numFmtId="176" fontId="61" fillId="0" borderId="47">
      <protection locked="0"/>
    </xf>
    <xf numFmtId="176" fontId="61"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1" fontId="9" fillId="0" borderId="47">
      <protection locked="0"/>
    </xf>
    <xf numFmtId="203" fontId="106" fillId="0" borderId="47">
      <protection locked="0"/>
    </xf>
    <xf numFmtId="0" fontId="43" fillId="16" borderId="0" applyNumberFormat="0" applyBorder="0" applyAlignment="0" applyProtection="0">
      <alignment vertical="center"/>
    </xf>
    <xf numFmtId="0" fontId="44" fillId="16" borderId="0" applyNumberFormat="0" applyBorder="0" applyAlignment="0" applyProtection="0">
      <alignment vertical="center"/>
    </xf>
    <xf numFmtId="0" fontId="45" fillId="16" borderId="0" applyNumberFormat="0" applyBorder="0" applyAlignment="0" applyProtection="0">
      <alignment vertical="center"/>
    </xf>
    <xf numFmtId="0" fontId="44" fillId="16" borderId="0" applyNumberFormat="0" applyBorder="0" applyAlignment="0" applyProtection="0">
      <alignment vertical="center"/>
    </xf>
    <xf numFmtId="0" fontId="57" fillId="15" borderId="0" applyNumberFormat="0" applyBorder="0" applyAlignment="0" applyProtection="0">
      <alignment vertical="center"/>
    </xf>
    <xf numFmtId="0" fontId="46" fillId="15" borderId="0" applyNumberFormat="0" applyBorder="0" applyAlignment="0" applyProtection="0">
      <alignment vertical="center"/>
    </xf>
    <xf numFmtId="0" fontId="57" fillId="15" borderId="0" applyNumberFormat="0" applyBorder="0" applyAlignment="0" applyProtection="0">
      <alignment vertical="center"/>
    </xf>
    <xf numFmtId="0" fontId="9" fillId="0" borderId="0"/>
    <xf numFmtId="0" fontId="50" fillId="0" borderId="0">
      <alignment vertical="center"/>
    </xf>
    <xf numFmtId="0" fontId="50" fillId="0" borderId="0">
      <alignment vertical="center"/>
    </xf>
    <xf numFmtId="0" fontId="9" fillId="0" borderId="0">
      <alignment vertical="center"/>
    </xf>
    <xf numFmtId="0" fontId="50" fillId="0" borderId="0">
      <alignment vertical="center"/>
    </xf>
    <xf numFmtId="38" fontId="9" fillId="0" borderId="0" applyFont="0" applyFill="0" applyBorder="0" applyAlignment="0" applyProtection="0"/>
    <xf numFmtId="8" fontId="9" fillId="0" borderId="0" applyFont="0" applyFill="0" applyBorder="0" applyAlignment="0" applyProtection="0"/>
    <xf numFmtId="6" fontId="115" fillId="0" borderId="0" applyFont="0" applyFill="0" applyBorder="0" applyAlignment="0" applyProtection="0"/>
    <xf numFmtId="8" fontId="5" fillId="0" borderId="0" applyFont="0" applyFill="0" applyBorder="0" applyAlignment="0" applyProtection="0"/>
    <xf numFmtId="9" fontId="9" fillId="0" borderId="0" applyFont="0" applyFill="0" applyBorder="0" applyAlignment="0" applyProtection="0"/>
    <xf numFmtId="0" fontId="9" fillId="0" borderId="0"/>
    <xf numFmtId="0" fontId="50" fillId="0" borderId="0">
      <alignment vertical="center"/>
    </xf>
    <xf numFmtId="0" fontId="58" fillId="0" borderId="0">
      <alignment vertical="center"/>
    </xf>
    <xf numFmtId="0" fontId="9" fillId="0" borderId="0">
      <alignment vertical="center"/>
    </xf>
    <xf numFmtId="0" fontId="9" fillId="0" borderId="0"/>
    <xf numFmtId="0" fontId="116" fillId="0" borderId="48"/>
    <xf numFmtId="0" fontId="117" fillId="0" borderId="0"/>
    <xf numFmtId="0" fontId="118" fillId="0" borderId="3">
      <protection hidden="1"/>
    </xf>
    <xf numFmtId="49" fontId="59" fillId="0" borderId="37" applyFont="0" applyBorder="0" applyAlignment="0"/>
    <xf numFmtId="0" fontId="60" fillId="0" borderId="0"/>
    <xf numFmtId="0" fontId="119" fillId="0" borderId="0" applyNumberFormat="0" applyFill="0" applyBorder="0" applyAlignment="0" applyProtection="0">
      <alignment horizontal="left"/>
      <protection locked="0"/>
    </xf>
    <xf numFmtId="0" fontId="120" fillId="0" borderId="0" applyNumberFormat="0" applyFill="0" applyBorder="0" applyAlignment="0" applyProtection="0">
      <alignment horizontal="left"/>
      <protection locked="0"/>
    </xf>
    <xf numFmtId="0" fontId="56" fillId="0" borderId="0"/>
    <xf numFmtId="0" fontId="1" fillId="0" borderId="0">
      <alignment vertical="center"/>
    </xf>
    <xf numFmtId="0" fontId="121" fillId="38" borderId="0" applyNumberFormat="0" applyBorder="0" applyAlignment="0" applyProtection="0">
      <alignment vertical="center"/>
    </xf>
    <xf numFmtId="0" fontId="121" fillId="15" borderId="0" applyNumberFormat="0" applyBorder="0" applyAlignment="0" applyProtection="0">
      <alignment vertical="center"/>
    </xf>
    <xf numFmtId="0" fontId="121" fillId="16" borderId="0" applyNumberFormat="0" applyBorder="0" applyAlignment="0" applyProtection="0">
      <alignment vertical="center"/>
    </xf>
    <xf numFmtId="0" fontId="121" fillId="39" borderId="0" applyNumberFormat="0" applyBorder="0" applyAlignment="0" applyProtection="0">
      <alignment vertical="center"/>
    </xf>
    <xf numFmtId="0" fontId="121" fillId="40" borderId="0" applyNumberFormat="0" applyBorder="0" applyAlignment="0" applyProtection="0">
      <alignment vertical="center"/>
    </xf>
    <xf numFmtId="0" fontId="121" fillId="41" borderId="0" applyNumberFormat="0" applyBorder="0" applyAlignment="0" applyProtection="0">
      <alignment vertical="center"/>
    </xf>
    <xf numFmtId="0" fontId="121" fillId="42" borderId="0" applyNumberFormat="0" applyBorder="0" applyAlignment="0" applyProtection="0">
      <alignment vertical="center"/>
    </xf>
    <xf numFmtId="0" fontId="121" fillId="43" borderId="0" applyNumberFormat="0" applyBorder="0" applyAlignment="0" applyProtection="0">
      <alignment vertical="center"/>
    </xf>
    <xf numFmtId="0" fontId="121" fillId="44" borderId="0" applyNumberFormat="0" applyBorder="0" applyAlignment="0" applyProtection="0">
      <alignment vertical="center"/>
    </xf>
    <xf numFmtId="0" fontId="121" fillId="39" borderId="0" applyNumberFormat="0" applyBorder="0" applyAlignment="0" applyProtection="0">
      <alignment vertical="center"/>
    </xf>
    <xf numFmtId="0" fontId="121" fillId="42" borderId="0" applyNumberFormat="0" applyBorder="0" applyAlignment="0" applyProtection="0">
      <alignment vertical="center"/>
    </xf>
    <xf numFmtId="0" fontId="121" fillId="45" borderId="0" applyNumberFormat="0" applyBorder="0" applyAlignment="0" applyProtection="0">
      <alignment vertical="center"/>
    </xf>
    <xf numFmtId="0" fontId="122" fillId="46" borderId="0" applyNumberFormat="0" applyBorder="0" applyAlignment="0" applyProtection="0">
      <alignment vertical="center"/>
    </xf>
    <xf numFmtId="0" fontId="122" fillId="43" borderId="0" applyNumberFormat="0" applyBorder="0" applyAlignment="0" applyProtection="0">
      <alignment vertical="center"/>
    </xf>
    <xf numFmtId="0" fontId="122" fillId="44" borderId="0" applyNumberFormat="0" applyBorder="0" applyAlignment="0" applyProtection="0">
      <alignment vertical="center"/>
    </xf>
    <xf numFmtId="0" fontId="122" fillId="47" borderId="0" applyNumberFormat="0" applyBorder="0" applyAlignment="0" applyProtection="0">
      <alignment vertical="center"/>
    </xf>
    <xf numFmtId="0" fontId="122" fillId="48" borderId="0" applyNumberFormat="0" applyBorder="0" applyAlignment="0" applyProtection="0">
      <alignment vertical="center"/>
    </xf>
    <xf numFmtId="0" fontId="122" fillId="49" borderId="0" applyNumberFormat="0" applyBorder="0" applyAlignment="0" applyProtection="0">
      <alignment vertical="center"/>
    </xf>
    <xf numFmtId="0" fontId="9" fillId="0" borderId="0"/>
    <xf numFmtId="0" fontId="6" fillId="0" borderId="0">
      <alignment vertical="center"/>
    </xf>
    <xf numFmtId="0" fontId="123" fillId="0" borderId="0"/>
    <xf numFmtId="0" fontId="124" fillId="0" borderId="0" applyNumberFormat="0" applyFill="0" applyBorder="0" applyAlignment="0" applyProtection="0">
      <alignment vertical="center"/>
    </xf>
    <xf numFmtId="38" fontId="1" fillId="0" borderId="0" applyFont="0" applyFill="0" applyBorder="0" applyAlignment="0" applyProtection="0">
      <alignment vertical="center"/>
    </xf>
    <xf numFmtId="0" fontId="44" fillId="16" borderId="0" applyNumberFormat="0" applyBorder="0" applyAlignment="0" applyProtection="0">
      <alignment vertical="center"/>
    </xf>
    <xf numFmtId="0" fontId="125" fillId="16" borderId="0" applyNumberFormat="0" applyBorder="0" applyAlignment="0" applyProtection="0">
      <alignment vertical="center"/>
    </xf>
    <xf numFmtId="0" fontId="46" fillId="15" borderId="0" applyNumberFormat="0" applyBorder="0" applyAlignment="0" applyProtection="0">
      <alignment vertical="center"/>
    </xf>
    <xf numFmtId="0" fontId="57" fillId="15" borderId="0" applyNumberFormat="0" applyBorder="0" applyAlignment="0" applyProtection="0">
      <alignment vertical="center"/>
    </xf>
    <xf numFmtId="0" fontId="46" fillId="15" borderId="0" applyNumberFormat="0" applyBorder="0" applyAlignment="0" applyProtection="0">
      <alignment vertical="center"/>
    </xf>
    <xf numFmtId="0" fontId="9" fillId="50" borderId="49" applyNumberFormat="0" applyFont="0" applyAlignment="0" applyProtection="0">
      <alignment vertical="center"/>
    </xf>
    <xf numFmtId="0" fontId="1" fillId="0" borderId="0">
      <alignment vertical="center"/>
    </xf>
    <xf numFmtId="0" fontId="9" fillId="0" borderId="0">
      <alignment vertical="center"/>
    </xf>
    <xf numFmtId="0" fontId="122" fillId="51" borderId="0" applyNumberFormat="0" applyBorder="0" applyAlignment="0" applyProtection="0">
      <alignment vertical="center"/>
    </xf>
    <xf numFmtId="0" fontId="122" fillId="52" borderId="0" applyNumberFormat="0" applyBorder="0" applyAlignment="0" applyProtection="0">
      <alignment vertical="center"/>
    </xf>
    <xf numFmtId="0" fontId="122" fillId="53" borderId="0" applyNumberFormat="0" applyBorder="0" applyAlignment="0" applyProtection="0">
      <alignment vertical="center"/>
    </xf>
    <xf numFmtId="0" fontId="122" fillId="47" borderId="0" applyNumberFormat="0" applyBorder="0" applyAlignment="0" applyProtection="0">
      <alignment vertical="center"/>
    </xf>
    <xf numFmtId="0" fontId="122" fillId="48" borderId="0" applyNumberFormat="0" applyBorder="0" applyAlignment="0" applyProtection="0">
      <alignment vertical="center"/>
    </xf>
    <xf numFmtId="0" fontId="122" fillId="54" borderId="0" applyNumberFormat="0" applyBorder="0" applyAlignment="0" applyProtection="0">
      <alignment vertical="center"/>
    </xf>
    <xf numFmtId="0" fontId="126" fillId="0" borderId="0" applyNumberFormat="0" applyFill="0" applyBorder="0" applyAlignment="0" applyProtection="0">
      <alignment vertical="center"/>
    </xf>
    <xf numFmtId="0" fontId="127" fillId="0" borderId="50" applyNumberFormat="0" applyFill="0" applyAlignment="0" applyProtection="0">
      <alignment vertical="center"/>
    </xf>
    <xf numFmtId="0" fontId="128" fillId="0" borderId="51" applyNumberFormat="0" applyFill="0" applyAlignment="0" applyProtection="0">
      <alignment vertical="center"/>
    </xf>
    <xf numFmtId="0" fontId="129" fillId="0" borderId="52" applyNumberFormat="0" applyFill="0" applyAlignment="0" applyProtection="0">
      <alignment vertical="center"/>
    </xf>
    <xf numFmtId="0" fontId="129" fillId="0" borderId="0" applyNumberFormat="0" applyFill="0" applyBorder="0" applyAlignment="0" applyProtection="0">
      <alignment vertical="center"/>
    </xf>
    <xf numFmtId="0" fontId="130" fillId="0" borderId="0" applyNumberFormat="0" applyFill="0" applyBorder="0" applyAlignment="0" applyProtection="0">
      <alignment vertical="center"/>
    </xf>
    <xf numFmtId="0" fontId="131" fillId="55" borderId="53" applyNumberFormat="0" applyAlignment="0" applyProtection="0">
      <alignment vertical="center"/>
    </xf>
    <xf numFmtId="0" fontId="132" fillId="0" borderId="54" applyNumberFormat="0" applyFill="0" applyAlignment="0" applyProtection="0">
      <alignment vertical="center"/>
    </xf>
    <xf numFmtId="0" fontId="133" fillId="56" borderId="55" applyNumberFormat="0" applyAlignment="0" applyProtection="0">
      <alignment vertical="center"/>
    </xf>
    <xf numFmtId="0" fontId="134" fillId="56" borderId="56" applyNumberFormat="0" applyAlignment="0" applyProtection="0">
      <alignment vertical="center"/>
    </xf>
    <xf numFmtId="0" fontId="135" fillId="41" borderId="55" applyNumberFormat="0" applyAlignment="0" applyProtection="0">
      <alignment vertical="center"/>
    </xf>
    <xf numFmtId="0" fontId="136" fillId="57" borderId="0" applyNumberFormat="0" applyBorder="0" applyAlignment="0" applyProtection="0">
      <alignment vertical="center"/>
    </xf>
    <xf numFmtId="0" fontId="137" fillId="0" borderId="57" applyNumberFormat="0" applyFill="0" applyAlignment="0" applyProtection="0">
      <alignment vertical="center"/>
    </xf>
    <xf numFmtId="0" fontId="23" fillId="0" borderId="0"/>
    <xf numFmtId="0" fontId="55" fillId="0" borderId="0"/>
    <xf numFmtId="0" fontId="138" fillId="0" borderId="0"/>
    <xf numFmtId="0" fontId="139" fillId="0" borderId="0"/>
    <xf numFmtId="43" fontId="40" fillId="0" borderId="0" applyFont="0" applyFill="0" applyBorder="0" applyAlignment="0" applyProtection="0"/>
    <xf numFmtId="41" fontId="40"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6" fillId="0" borderId="0" applyFont="0" applyFill="0" applyBorder="0" applyAlignment="0" applyProtection="0">
      <alignment vertical="center"/>
    </xf>
    <xf numFmtId="38" fontId="6" fillId="0" borderId="0" applyFont="0" applyFill="0" applyBorder="0" applyAlignment="0" applyProtection="0">
      <alignment vertical="center"/>
    </xf>
    <xf numFmtId="6" fontId="9" fillId="0" borderId="0" applyFont="0" applyFill="0" applyBorder="0" applyAlignment="0" applyProtection="0"/>
    <xf numFmtId="0" fontId="1" fillId="0" borderId="0">
      <alignment vertical="center"/>
    </xf>
    <xf numFmtId="0" fontId="1" fillId="0" borderId="0">
      <alignment vertical="center"/>
    </xf>
    <xf numFmtId="0" fontId="9" fillId="0" borderId="0"/>
    <xf numFmtId="0" fontId="9" fillId="0" borderId="0"/>
    <xf numFmtId="0" fontId="140" fillId="0" borderId="0">
      <alignment vertical="center"/>
    </xf>
    <xf numFmtId="0" fontId="39" fillId="0" borderId="60">
      <alignment horizontal="left" vertical="center"/>
    </xf>
    <xf numFmtId="10" fontId="54" fillId="19" borderId="59" applyNumberFormat="0" applyBorder="0" applyAlignment="0" applyProtection="0"/>
    <xf numFmtId="0" fontId="105" fillId="0" borderId="59"/>
    <xf numFmtId="0" fontId="105" fillId="0" borderId="59">
      <protection locked="0" hidden="1"/>
    </xf>
    <xf numFmtId="0" fontId="106" fillId="0" borderId="61" applyBorder="0"/>
    <xf numFmtId="0" fontId="49" fillId="0" borderId="59"/>
    <xf numFmtId="0" fontId="109" fillId="0" borderId="59">
      <alignment vertical="center"/>
    </xf>
    <xf numFmtId="0" fontId="105" fillId="0" borderId="59">
      <protection locked="0"/>
    </xf>
    <xf numFmtId="0" fontId="41" fillId="0" borderId="58" applyFill="0" applyBorder="0" applyAlignment="0"/>
    <xf numFmtId="0" fontId="118" fillId="0" borderId="59">
      <protection hidden="1"/>
    </xf>
    <xf numFmtId="0" fontId="9" fillId="50" borderId="63" applyNumberFormat="0" applyFont="0" applyAlignment="0" applyProtection="0">
      <alignment vertical="center"/>
    </xf>
    <xf numFmtId="0" fontId="132" fillId="0" borderId="64" applyNumberFormat="0" applyFill="0" applyAlignment="0" applyProtection="0">
      <alignment vertical="center"/>
    </xf>
    <xf numFmtId="0" fontId="133" fillId="56" borderId="65" applyNumberFormat="0" applyAlignment="0" applyProtection="0">
      <alignment vertical="center"/>
    </xf>
    <xf numFmtId="0" fontId="134" fillId="56" borderId="66" applyNumberFormat="0" applyAlignment="0" applyProtection="0">
      <alignment vertical="center"/>
    </xf>
    <xf numFmtId="0" fontId="135" fillId="41" borderId="65" applyNumberFormat="0" applyAlignment="0" applyProtection="0">
      <alignment vertical="center"/>
    </xf>
    <xf numFmtId="0" fontId="145" fillId="0" borderId="0">
      <alignment vertical="center"/>
    </xf>
  </cellStyleXfs>
  <cellXfs count="262">
    <xf numFmtId="0" fontId="0" fillId="0" borderId="0" xfId="0">
      <alignment vertical="center"/>
    </xf>
    <xf numFmtId="0" fontId="12" fillId="0" borderId="0" xfId="6">
      <alignment vertical="center"/>
    </xf>
    <xf numFmtId="0" fontId="10" fillId="0" borderId="0" xfId="0" applyFont="1" applyAlignment="1">
      <alignment vertical="center" wrapText="1"/>
    </xf>
    <xf numFmtId="178" fontId="10" fillId="0" borderId="0" xfId="0" applyNumberFormat="1" applyFont="1" applyAlignment="1">
      <alignment vertical="center" wrapText="1"/>
    </xf>
    <xf numFmtId="0" fontId="10" fillId="0" borderId="0" xfId="0" applyFont="1" applyAlignment="1">
      <alignment horizontal="center" vertical="center" wrapText="1"/>
    </xf>
    <xf numFmtId="177" fontId="10" fillId="0" borderId="0" xfId="0" applyNumberFormat="1" applyFont="1" applyAlignment="1">
      <alignment horizontal="center" vertical="center" wrapText="1"/>
    </xf>
    <xf numFmtId="179" fontId="10" fillId="0" borderId="0" xfId="0" applyNumberFormat="1" applyFont="1" applyAlignment="1">
      <alignment horizontal="center" vertical="center" wrapText="1"/>
    </xf>
    <xf numFmtId="180" fontId="16" fillId="6" borderId="1" xfId="0" applyNumberFormat="1" applyFont="1" applyFill="1" applyBorder="1" applyAlignment="1">
      <alignment horizontal="center" vertical="center" shrinkToFit="1"/>
    </xf>
    <xf numFmtId="38" fontId="16" fillId="6" borderId="1" xfId="5" applyFont="1" applyFill="1" applyBorder="1" applyAlignment="1">
      <alignment horizontal="center" vertical="center" shrinkToFit="1"/>
    </xf>
    <xf numFmtId="0" fontId="16" fillId="0" borderId="0" xfId="0" applyFont="1" applyAlignment="1">
      <alignment horizontal="center" vertical="center" wrapText="1"/>
    </xf>
    <xf numFmtId="179" fontId="16" fillId="0" borderId="0" xfId="0" applyNumberFormat="1" applyFont="1" applyAlignment="1">
      <alignment horizontal="center" vertical="center" wrapText="1"/>
    </xf>
    <xf numFmtId="177" fontId="16" fillId="0" borderId="0" xfId="0" applyNumberFormat="1" applyFont="1" applyAlignment="1">
      <alignment horizontal="center" vertical="center" wrapText="1"/>
    </xf>
    <xf numFmtId="0" fontId="16" fillId="0" borderId="0" xfId="0" applyFont="1" applyAlignment="1">
      <alignment vertical="center" wrapText="1"/>
    </xf>
    <xf numFmtId="181" fontId="16" fillId="6" borderId="1" xfId="0" applyNumberFormat="1" applyFont="1" applyFill="1" applyBorder="1" applyAlignment="1">
      <alignment horizontal="center" vertical="center" shrinkToFit="1"/>
    </xf>
    <xf numFmtId="177" fontId="17" fillId="3" borderId="15" xfId="0" applyNumberFormat="1" applyFont="1" applyFill="1" applyBorder="1" applyAlignment="1" applyProtection="1">
      <alignment horizontal="center" vertical="center" wrapText="1"/>
      <protection locked="0"/>
    </xf>
    <xf numFmtId="177" fontId="17" fillId="3" borderId="16" xfId="0" applyNumberFormat="1" applyFont="1" applyFill="1" applyBorder="1" applyAlignment="1" applyProtection="1">
      <alignment horizontal="center" vertical="center" wrapText="1"/>
      <protection locked="0"/>
    </xf>
    <xf numFmtId="177" fontId="17" fillId="4" borderId="15" xfId="0" applyNumberFormat="1" applyFont="1" applyFill="1" applyBorder="1" applyAlignment="1" applyProtection="1">
      <alignment horizontal="center" vertical="center" wrapText="1"/>
      <protection locked="0"/>
    </xf>
    <xf numFmtId="177" fontId="17" fillId="4" borderId="16" xfId="0" applyNumberFormat="1" applyFont="1" applyFill="1" applyBorder="1" applyAlignment="1" applyProtection="1">
      <alignment horizontal="center" vertical="center" wrapText="1"/>
      <protection locked="0"/>
    </xf>
    <xf numFmtId="0" fontId="17" fillId="4" borderId="12" xfId="0" applyFont="1" applyFill="1" applyBorder="1" applyAlignment="1" applyProtection="1">
      <alignment horizontal="center" vertical="center" wrapText="1"/>
      <protection locked="0"/>
    </xf>
    <xf numFmtId="177" fontId="17" fillId="5" borderId="15" xfId="0" applyNumberFormat="1" applyFont="1" applyFill="1" applyBorder="1" applyAlignment="1" applyProtection="1">
      <alignment horizontal="center" vertical="center" wrapText="1"/>
      <protection locked="0"/>
    </xf>
    <xf numFmtId="177" fontId="17" fillId="5" borderId="16" xfId="0" applyNumberFormat="1" applyFont="1" applyFill="1" applyBorder="1" applyAlignment="1" applyProtection="1">
      <alignment horizontal="center" vertical="center" wrapText="1"/>
      <protection locked="0"/>
    </xf>
    <xf numFmtId="0" fontId="10" fillId="0" borderId="0" xfId="0" applyFont="1" applyAlignment="1" applyProtection="1">
      <alignment vertical="center" wrapText="1"/>
      <protection locked="0"/>
    </xf>
    <xf numFmtId="178" fontId="10" fillId="0" borderId="0" xfId="0" applyNumberFormat="1" applyFont="1" applyAlignment="1" applyProtection="1">
      <alignment vertical="center" wrapText="1"/>
      <protection locked="0"/>
    </xf>
    <xf numFmtId="0" fontId="10" fillId="0" borderId="0" xfId="0" applyFont="1" applyAlignment="1" applyProtection="1">
      <alignment horizontal="center" vertical="center" wrapText="1"/>
      <protection locked="0"/>
    </xf>
    <xf numFmtId="177" fontId="10" fillId="0" borderId="0" xfId="0" applyNumberFormat="1" applyFont="1" applyAlignment="1" applyProtection="1">
      <alignment horizontal="center" vertical="center" wrapText="1"/>
      <protection locked="0"/>
    </xf>
    <xf numFmtId="179" fontId="10" fillId="0" borderId="0" xfId="0" applyNumberFormat="1" applyFont="1" applyAlignment="1" applyProtection="1">
      <alignment horizontal="center" vertical="center" wrapText="1"/>
      <protection locked="0"/>
    </xf>
    <xf numFmtId="0" fontId="4" fillId="0" borderId="0" xfId="0" applyFont="1" applyProtection="1">
      <alignment vertical="center"/>
      <protection locked="0"/>
    </xf>
    <xf numFmtId="179" fontId="10" fillId="0" borderId="0" xfId="0" applyNumberFormat="1" applyFont="1" applyAlignment="1" applyProtection="1">
      <alignment horizontal="center" vertical="center" shrinkToFit="1"/>
      <protection locked="0"/>
    </xf>
    <xf numFmtId="0" fontId="10" fillId="0" borderId="0" xfId="0" applyFont="1" applyAlignment="1" applyProtection="1">
      <alignment horizontal="center" vertical="center" shrinkToFit="1"/>
      <protection locked="0"/>
    </xf>
    <xf numFmtId="0" fontId="3" fillId="8" borderId="18" xfId="0" applyFont="1" applyFill="1" applyBorder="1" applyAlignment="1" applyProtection="1">
      <alignment horizontal="right" vertical="top" wrapText="1"/>
      <protection locked="0"/>
    </xf>
    <xf numFmtId="0" fontId="3" fillId="8" borderId="19" xfId="0" applyFont="1" applyFill="1" applyBorder="1" applyAlignment="1" applyProtection="1">
      <alignment horizontal="center" vertical="top" wrapText="1"/>
      <protection locked="0"/>
    </xf>
    <xf numFmtId="0" fontId="3" fillId="8" borderId="5" xfId="0" applyFont="1" applyFill="1" applyBorder="1" applyAlignment="1" applyProtection="1">
      <alignment horizontal="right" vertical="top" wrapText="1"/>
      <protection locked="0"/>
    </xf>
    <xf numFmtId="0" fontId="3" fillId="8" borderId="10" xfId="0" applyFont="1" applyFill="1" applyBorder="1" applyAlignment="1" applyProtection="1">
      <alignment horizontal="left" vertical="top" wrapText="1"/>
      <protection locked="0"/>
    </xf>
    <xf numFmtId="0" fontId="3" fillId="8" borderId="10" xfId="0" applyFont="1" applyFill="1" applyBorder="1" applyAlignment="1" applyProtection="1">
      <alignment horizontal="center" vertical="top" wrapText="1"/>
      <protection locked="0"/>
    </xf>
    <xf numFmtId="0" fontId="3" fillId="8" borderId="11" xfId="0" applyFont="1" applyFill="1" applyBorder="1" applyAlignment="1" applyProtection="1">
      <alignment horizontal="left" vertical="top" wrapText="1"/>
      <protection locked="0"/>
    </xf>
    <xf numFmtId="0" fontId="3" fillId="8" borderId="11" xfId="0" applyFont="1" applyFill="1" applyBorder="1" applyAlignment="1" applyProtection="1">
      <alignment horizontal="center" vertical="top" wrapText="1"/>
      <protection locked="0"/>
    </xf>
    <xf numFmtId="0" fontId="21" fillId="0" borderId="0" xfId="0" applyFont="1">
      <alignment vertical="center"/>
    </xf>
    <xf numFmtId="0" fontId="3" fillId="12" borderId="10" xfId="0" applyFont="1" applyFill="1" applyBorder="1" applyAlignment="1" applyProtection="1">
      <alignment horizontal="left" vertical="top" wrapText="1"/>
      <protection locked="0"/>
    </xf>
    <xf numFmtId="0" fontId="3" fillId="12" borderId="11" xfId="0" applyFont="1" applyFill="1" applyBorder="1" applyAlignment="1" applyProtection="1">
      <alignment horizontal="left" vertical="top" wrapText="1"/>
      <protection locked="0"/>
    </xf>
    <xf numFmtId="180" fontId="3" fillId="12" borderId="19" xfId="0" applyNumberFormat="1" applyFont="1" applyFill="1" applyBorder="1" applyAlignment="1" applyProtection="1">
      <alignment horizontal="center" vertical="top" wrapText="1"/>
      <protection locked="0"/>
    </xf>
    <xf numFmtId="0" fontId="3" fillId="12" borderId="10" xfId="0" applyFont="1" applyFill="1" applyBorder="1" applyAlignment="1" applyProtection="1">
      <alignment horizontal="center" vertical="top" wrapText="1"/>
      <protection locked="0"/>
    </xf>
    <xf numFmtId="180" fontId="3" fillId="12" borderId="10" xfId="0" applyNumberFormat="1" applyFont="1" applyFill="1" applyBorder="1" applyAlignment="1" applyProtection="1">
      <alignment horizontal="center" vertical="top" wrapText="1"/>
      <protection locked="0"/>
    </xf>
    <xf numFmtId="0" fontId="3" fillId="12" borderId="11" xfId="0" applyFont="1" applyFill="1" applyBorder="1" applyAlignment="1" applyProtection="1">
      <alignment horizontal="center" vertical="top" wrapText="1"/>
      <protection locked="0"/>
    </xf>
    <xf numFmtId="180" fontId="3" fillId="12" borderId="11" xfId="0" applyNumberFormat="1" applyFont="1" applyFill="1" applyBorder="1" applyAlignment="1" applyProtection="1">
      <alignment horizontal="center" vertical="top" wrapText="1"/>
      <protection locked="0"/>
    </xf>
    <xf numFmtId="181" fontId="3" fillId="12" borderId="25" xfId="0" applyNumberFormat="1" applyFont="1" applyFill="1" applyBorder="1" applyAlignment="1" applyProtection="1">
      <alignment horizontal="center" vertical="top" wrapText="1"/>
      <protection locked="0"/>
    </xf>
    <xf numFmtId="181" fontId="3" fillId="12" borderId="10" xfId="0" applyNumberFormat="1" applyFont="1" applyFill="1" applyBorder="1" applyAlignment="1" applyProtection="1">
      <alignment horizontal="center" vertical="top" wrapText="1"/>
      <protection locked="0"/>
    </xf>
    <xf numFmtId="181" fontId="3" fillId="12" borderId="26" xfId="0" applyNumberFormat="1" applyFont="1" applyFill="1" applyBorder="1" applyAlignment="1" applyProtection="1">
      <alignment horizontal="center" vertical="top" wrapText="1"/>
      <protection locked="0"/>
    </xf>
    <xf numFmtId="181" fontId="3" fillId="12" borderId="11" xfId="0" applyNumberFormat="1" applyFont="1" applyFill="1" applyBorder="1" applyAlignment="1" applyProtection="1">
      <alignment horizontal="center" vertical="top" wrapText="1"/>
      <protection locked="0"/>
    </xf>
    <xf numFmtId="180" fontId="3" fillId="12" borderId="19" xfId="3" applyNumberFormat="1" applyFont="1" applyFill="1" applyBorder="1" applyAlignment="1" applyProtection="1">
      <alignment horizontal="center" vertical="top" wrapText="1"/>
      <protection locked="0"/>
    </xf>
    <xf numFmtId="180" fontId="3" fillId="12" borderId="10" xfId="3" applyNumberFormat="1" applyFont="1" applyFill="1" applyBorder="1" applyAlignment="1" applyProtection="1">
      <alignment horizontal="center" vertical="top" wrapText="1"/>
      <protection locked="0"/>
    </xf>
    <xf numFmtId="180" fontId="3" fillId="12" borderId="11" xfId="3" applyNumberFormat="1" applyFont="1" applyFill="1" applyBorder="1" applyAlignment="1" applyProtection="1">
      <alignment horizontal="center" vertical="top" wrapText="1"/>
      <protection locked="0"/>
    </xf>
    <xf numFmtId="181" fontId="3" fillId="12" borderId="24" xfId="0" applyNumberFormat="1" applyFont="1" applyFill="1" applyBorder="1" applyAlignment="1" applyProtection="1">
      <alignment horizontal="center" vertical="top" wrapText="1"/>
      <protection locked="0"/>
    </xf>
    <xf numFmtId="181" fontId="3" fillId="12" borderId="19" xfId="0" applyNumberFormat="1" applyFont="1" applyFill="1" applyBorder="1" applyAlignment="1" applyProtection="1">
      <alignment horizontal="center" vertical="top" wrapText="1"/>
      <protection locked="0"/>
    </xf>
    <xf numFmtId="181" fontId="3" fillId="11" borderId="18" xfId="0" applyNumberFormat="1" applyFont="1" applyFill="1" applyBorder="1" applyAlignment="1" applyProtection="1">
      <alignment horizontal="center" vertical="top" wrapText="1"/>
      <protection locked="0"/>
    </xf>
    <xf numFmtId="181" fontId="3" fillId="11" borderId="19" xfId="0" applyNumberFormat="1" applyFont="1" applyFill="1" applyBorder="1" applyAlignment="1" applyProtection="1">
      <alignment horizontal="center" vertical="top" wrapText="1"/>
      <protection locked="0"/>
    </xf>
    <xf numFmtId="0" fontId="3" fillId="11" borderId="19" xfId="0" applyFont="1" applyFill="1" applyBorder="1" applyAlignment="1" applyProtection="1">
      <alignment horizontal="center" vertical="top" wrapText="1"/>
      <protection locked="0"/>
    </xf>
    <xf numFmtId="180" fontId="3" fillId="11" borderId="19" xfId="3" applyNumberFormat="1" applyFont="1" applyFill="1" applyBorder="1" applyAlignment="1" applyProtection="1">
      <alignment horizontal="center" vertical="top" wrapText="1"/>
      <protection locked="0"/>
    </xf>
    <xf numFmtId="9" fontId="3" fillId="11" borderId="19" xfId="3" applyFont="1" applyFill="1" applyBorder="1" applyAlignment="1" applyProtection="1">
      <alignment horizontal="center" vertical="top" wrapText="1"/>
      <protection locked="0"/>
    </xf>
    <xf numFmtId="181" fontId="3" fillId="11" borderId="5" xfId="0" applyNumberFormat="1" applyFont="1" applyFill="1" applyBorder="1" applyAlignment="1" applyProtection="1">
      <alignment horizontal="center" vertical="top" wrapText="1"/>
      <protection locked="0"/>
    </xf>
    <xf numFmtId="181" fontId="3" fillId="11" borderId="10" xfId="0" applyNumberFormat="1" applyFont="1" applyFill="1" applyBorder="1" applyAlignment="1" applyProtection="1">
      <alignment horizontal="center" vertical="top" wrapText="1"/>
      <protection locked="0"/>
    </xf>
    <xf numFmtId="0" fontId="3" fillId="11" borderId="10" xfId="0" applyFont="1" applyFill="1" applyBorder="1" applyAlignment="1" applyProtection="1">
      <alignment horizontal="center" vertical="top" wrapText="1"/>
      <protection locked="0"/>
    </xf>
    <xf numFmtId="180" fontId="3" fillId="11" borderId="10" xfId="3" applyNumberFormat="1" applyFont="1" applyFill="1" applyBorder="1" applyAlignment="1" applyProtection="1">
      <alignment horizontal="center" vertical="top" wrapText="1"/>
      <protection locked="0"/>
    </xf>
    <xf numFmtId="9" fontId="3" fillId="11" borderId="10" xfId="3" applyFont="1" applyFill="1" applyBorder="1" applyAlignment="1" applyProtection="1">
      <alignment horizontal="center" vertical="top" wrapText="1"/>
      <protection locked="0"/>
    </xf>
    <xf numFmtId="0" fontId="3" fillId="11" borderId="6" xfId="0" applyFont="1" applyFill="1" applyBorder="1" applyAlignment="1" applyProtection="1">
      <alignment horizontal="center" vertical="top" wrapText="1"/>
      <protection locked="0"/>
    </xf>
    <xf numFmtId="181" fontId="3" fillId="11" borderId="7" xfId="0" applyNumberFormat="1" applyFont="1" applyFill="1" applyBorder="1" applyAlignment="1" applyProtection="1">
      <alignment horizontal="center" vertical="top" wrapText="1"/>
      <protection locked="0"/>
    </xf>
    <xf numFmtId="181" fontId="3" fillId="11" borderId="11" xfId="0" applyNumberFormat="1" applyFont="1" applyFill="1" applyBorder="1" applyAlignment="1" applyProtection="1">
      <alignment horizontal="center" vertical="top" wrapText="1"/>
      <protection locked="0"/>
    </xf>
    <xf numFmtId="0" fontId="3" fillId="11" borderId="11" xfId="0" applyFont="1" applyFill="1" applyBorder="1" applyAlignment="1" applyProtection="1">
      <alignment horizontal="center" vertical="top" wrapText="1"/>
      <protection locked="0"/>
    </xf>
    <xf numFmtId="180" fontId="3" fillId="11" borderId="11" xfId="3" applyNumberFormat="1" applyFont="1" applyFill="1" applyBorder="1" applyAlignment="1" applyProtection="1">
      <alignment horizontal="center" vertical="top" wrapText="1"/>
      <protection locked="0"/>
    </xf>
    <xf numFmtId="9" fontId="3" fillId="11" borderId="11" xfId="3" applyFont="1" applyFill="1" applyBorder="1" applyAlignment="1" applyProtection="1">
      <alignment horizontal="center" vertical="top" wrapText="1"/>
      <protection locked="0"/>
    </xf>
    <xf numFmtId="0" fontId="3" fillId="11" borderId="8" xfId="0" applyFont="1" applyFill="1" applyBorder="1" applyAlignment="1" applyProtection="1">
      <alignment horizontal="center" vertical="top" wrapText="1"/>
      <protection locked="0"/>
    </xf>
    <xf numFmtId="14" fontId="24" fillId="0" borderId="0" xfId="4" applyNumberFormat="1" applyFont="1" applyAlignment="1">
      <alignment vertical="center"/>
    </xf>
    <xf numFmtId="0" fontId="24" fillId="8" borderId="0" xfId="4" applyFont="1" applyFill="1" applyAlignment="1">
      <alignment horizontal="center" vertical="center" shrinkToFit="1"/>
    </xf>
    <xf numFmtId="0" fontId="24" fillId="0" borderId="0" xfId="0" applyFont="1" applyAlignment="1">
      <alignment vertical="center" wrapText="1"/>
    </xf>
    <xf numFmtId="0" fontId="25" fillId="0" borderId="0" xfId="0" applyFont="1" applyAlignment="1">
      <alignment vertical="center" wrapText="1"/>
    </xf>
    <xf numFmtId="14" fontId="26" fillId="0" borderId="0" xfId="4" applyNumberFormat="1" applyFont="1" applyAlignment="1">
      <alignment horizontal="right" vertical="center"/>
    </xf>
    <xf numFmtId="0" fontId="3" fillId="8" borderId="7" xfId="0" applyFont="1" applyFill="1" applyBorder="1" applyAlignment="1" applyProtection="1">
      <alignment horizontal="right" vertical="top" wrapText="1"/>
      <protection locked="0"/>
    </xf>
    <xf numFmtId="181" fontId="3" fillId="12" borderId="18" xfId="0" applyNumberFormat="1" applyFont="1" applyFill="1" applyBorder="1" applyAlignment="1" applyProtection="1">
      <alignment horizontal="center" vertical="top" wrapText="1"/>
      <protection locked="0"/>
    </xf>
    <xf numFmtId="181" fontId="3" fillId="12" borderId="5" xfId="0" applyNumberFormat="1" applyFont="1" applyFill="1" applyBorder="1" applyAlignment="1" applyProtection="1">
      <alignment horizontal="center" vertical="top" wrapText="1"/>
      <protection locked="0"/>
    </xf>
    <xf numFmtId="181" fontId="3" fillId="12" borderId="7" xfId="0" applyNumberFormat="1" applyFont="1" applyFill="1" applyBorder="1" applyAlignment="1" applyProtection="1">
      <alignment horizontal="center" vertical="top" wrapText="1"/>
      <protection locked="0"/>
    </xf>
    <xf numFmtId="0" fontId="3" fillId="8" borderId="19" xfId="0" applyFont="1" applyFill="1" applyBorder="1" applyAlignment="1" applyProtection="1">
      <alignment horizontal="left" vertical="top" wrapText="1"/>
      <protection locked="0"/>
    </xf>
    <xf numFmtId="0" fontId="3" fillId="12" borderId="19" xfId="0" applyFont="1" applyFill="1" applyBorder="1" applyAlignment="1" applyProtection="1">
      <alignment horizontal="left" vertical="top" wrapText="1"/>
      <protection locked="0"/>
    </xf>
    <xf numFmtId="0" fontId="3" fillId="11" borderId="20" xfId="0" applyFont="1" applyFill="1" applyBorder="1" applyAlignment="1" applyProtection="1">
      <alignment horizontal="center" vertical="top" wrapText="1"/>
      <protection locked="0"/>
    </xf>
    <xf numFmtId="0" fontId="27" fillId="0" borderId="0" xfId="0" applyFont="1" applyAlignment="1" applyProtection="1">
      <alignment vertical="center" wrapText="1"/>
      <protection locked="0"/>
    </xf>
    <xf numFmtId="38" fontId="3" fillId="7" borderId="19" xfId="5" applyFont="1" applyFill="1" applyBorder="1" applyAlignment="1" applyProtection="1">
      <alignment horizontal="center" vertical="top" wrapText="1"/>
      <protection locked="0"/>
    </xf>
    <xf numFmtId="0" fontId="3" fillId="0" borderId="0" xfId="0" applyFont="1" applyAlignment="1" applyProtection="1">
      <alignment vertical="center" wrapText="1"/>
      <protection locked="0"/>
    </xf>
    <xf numFmtId="38" fontId="3" fillId="7" borderId="10" xfId="5" applyFont="1" applyFill="1" applyBorder="1" applyAlignment="1" applyProtection="1">
      <alignment horizontal="center" vertical="top" wrapText="1"/>
      <protection locked="0"/>
    </xf>
    <xf numFmtId="38" fontId="3" fillId="7" borderId="11" xfId="5" applyFont="1" applyFill="1" applyBorder="1" applyAlignment="1" applyProtection="1">
      <alignment horizontal="center" vertical="top" wrapText="1"/>
      <protection locked="0"/>
    </xf>
    <xf numFmtId="0" fontId="25" fillId="0" borderId="0" xfId="0" applyFont="1" applyAlignment="1" applyProtection="1">
      <alignment vertical="center" wrapText="1"/>
      <protection locked="0"/>
    </xf>
    <xf numFmtId="0" fontId="3" fillId="8" borderId="10" xfId="5" applyNumberFormat="1" applyFont="1" applyFill="1" applyBorder="1" applyAlignment="1" applyProtection="1">
      <alignment horizontal="left" vertical="top" wrapText="1"/>
      <protection locked="0"/>
    </xf>
    <xf numFmtId="0" fontId="3" fillId="8" borderId="11" xfId="5" applyNumberFormat="1" applyFont="1" applyFill="1" applyBorder="1" applyAlignment="1" applyProtection="1">
      <alignment horizontal="left" vertical="top" wrapText="1"/>
      <protection locked="0"/>
    </xf>
    <xf numFmtId="0" fontId="3" fillId="8" borderId="19" xfId="5" applyNumberFormat="1" applyFont="1" applyFill="1" applyBorder="1" applyAlignment="1" applyProtection="1">
      <alignment horizontal="left" vertical="top" wrapText="1"/>
      <protection locked="0"/>
    </xf>
    <xf numFmtId="38" fontId="16" fillId="0" borderId="0" xfId="5" applyFont="1" applyFill="1" applyBorder="1" applyAlignment="1">
      <alignment horizontal="center" vertical="center" shrinkToFit="1"/>
    </xf>
    <xf numFmtId="0" fontId="28" fillId="8" borderId="10" xfId="0" applyFont="1" applyFill="1" applyBorder="1" applyAlignment="1" applyProtection="1">
      <alignment horizontal="left" vertical="top" wrapText="1"/>
      <protection locked="0"/>
    </xf>
    <xf numFmtId="0" fontId="28" fillId="8" borderId="11" xfId="0" applyFont="1" applyFill="1" applyBorder="1" applyAlignment="1" applyProtection="1">
      <alignment horizontal="left" vertical="top" wrapText="1"/>
      <protection locked="0"/>
    </xf>
    <xf numFmtId="14" fontId="11" fillId="0" borderId="0" xfId="4" applyNumberFormat="1" applyFont="1" applyAlignment="1" applyProtection="1">
      <alignment horizontal="left" vertical="center"/>
      <protection locked="0"/>
    </xf>
    <xf numFmtId="180" fontId="3" fillId="13" borderId="19" xfId="0" applyNumberFormat="1" applyFont="1" applyFill="1" applyBorder="1" applyAlignment="1" applyProtection="1">
      <alignment horizontal="center" vertical="top" wrapText="1"/>
      <protection locked="0"/>
    </xf>
    <xf numFmtId="180" fontId="3" fillId="13" borderId="10" xfId="0" applyNumberFormat="1" applyFont="1" applyFill="1" applyBorder="1" applyAlignment="1" applyProtection="1">
      <alignment horizontal="center" vertical="top" wrapText="1"/>
      <protection locked="0"/>
    </xf>
    <xf numFmtId="180" fontId="3" fillId="13" borderId="11" xfId="0" applyNumberFormat="1" applyFont="1" applyFill="1" applyBorder="1" applyAlignment="1" applyProtection="1">
      <alignment horizontal="center" vertical="top" wrapText="1"/>
      <protection locked="0"/>
    </xf>
    <xf numFmtId="182" fontId="3" fillId="7" borderId="5" xfId="0" applyNumberFormat="1" applyFont="1" applyFill="1" applyBorder="1" applyAlignment="1" applyProtection="1">
      <alignment horizontal="center" vertical="center" wrapText="1"/>
      <protection locked="0"/>
    </xf>
    <xf numFmtId="182" fontId="3" fillId="7" borderId="7" xfId="0" applyNumberFormat="1" applyFont="1" applyFill="1" applyBorder="1" applyAlignment="1" applyProtection="1">
      <alignment horizontal="center" vertical="center" wrapText="1"/>
      <protection locked="0"/>
    </xf>
    <xf numFmtId="0" fontId="17" fillId="14" borderId="12" xfId="0" applyFont="1" applyFill="1" applyBorder="1" applyAlignment="1">
      <alignment horizontal="center" vertical="center" wrapText="1"/>
    </xf>
    <xf numFmtId="179" fontId="16" fillId="6" borderId="1" xfId="0" applyNumberFormat="1" applyFont="1" applyFill="1" applyBorder="1" applyAlignment="1">
      <alignment horizontal="center" vertical="center" shrinkToFit="1"/>
    </xf>
    <xf numFmtId="1" fontId="16" fillId="6" borderId="1" xfId="0" applyNumberFormat="1" applyFont="1" applyFill="1" applyBorder="1" applyAlignment="1">
      <alignment horizontal="center" vertical="center" shrinkToFit="1"/>
    </xf>
    <xf numFmtId="0" fontId="3" fillId="8" borderId="6" xfId="0" applyFont="1" applyFill="1" applyBorder="1" applyAlignment="1" applyProtection="1">
      <alignment horizontal="left" vertical="top" wrapText="1"/>
      <protection locked="0"/>
    </xf>
    <xf numFmtId="0" fontId="3" fillId="8" borderId="8" xfId="0" applyFont="1" applyFill="1" applyBorder="1" applyAlignment="1" applyProtection="1">
      <alignment horizontal="left" vertical="top" wrapText="1"/>
      <protection locked="0"/>
    </xf>
    <xf numFmtId="181" fontId="3" fillId="13" borderId="19" xfId="0" applyNumberFormat="1" applyFont="1" applyFill="1" applyBorder="1" applyAlignment="1" applyProtection="1">
      <alignment horizontal="center" vertical="top" wrapText="1"/>
      <protection locked="0"/>
    </xf>
    <xf numFmtId="181" fontId="3" fillId="13" borderId="10" xfId="0" applyNumberFormat="1" applyFont="1" applyFill="1" applyBorder="1" applyAlignment="1" applyProtection="1">
      <alignment horizontal="center" vertical="top" wrapText="1"/>
      <protection locked="0"/>
    </xf>
    <xf numFmtId="181" fontId="3" fillId="13" borderId="11" xfId="0" applyNumberFormat="1" applyFont="1" applyFill="1" applyBorder="1" applyAlignment="1" applyProtection="1">
      <alignment horizontal="center" vertical="top" wrapText="1"/>
      <protection locked="0"/>
    </xf>
    <xf numFmtId="38" fontId="3" fillId="13" borderId="19" xfId="5" applyFont="1" applyFill="1" applyBorder="1" applyAlignment="1" applyProtection="1">
      <alignment horizontal="center" vertical="top" wrapText="1"/>
      <protection locked="0"/>
    </xf>
    <xf numFmtId="38" fontId="3" fillId="13" borderId="10" xfId="5" applyFont="1" applyFill="1" applyBorder="1" applyAlignment="1" applyProtection="1">
      <alignment horizontal="center" vertical="top" wrapText="1"/>
      <protection locked="0"/>
    </xf>
    <xf numFmtId="38" fontId="3" fillId="13" borderId="11" xfId="5" applyFont="1" applyFill="1" applyBorder="1" applyAlignment="1" applyProtection="1">
      <alignment horizontal="center" vertical="top" wrapText="1"/>
      <protection locked="0"/>
    </xf>
    <xf numFmtId="0" fontId="3" fillId="13" borderId="22" xfId="0" applyFont="1" applyFill="1" applyBorder="1" applyAlignment="1" applyProtection="1">
      <alignment horizontal="center" vertical="top" wrapText="1"/>
      <protection locked="0"/>
    </xf>
    <xf numFmtId="0" fontId="3" fillId="13" borderId="23" xfId="0" applyFont="1" applyFill="1" applyBorder="1" applyAlignment="1" applyProtection="1">
      <alignment horizontal="center" vertical="top" wrapText="1"/>
      <protection locked="0"/>
    </xf>
    <xf numFmtId="0" fontId="30" fillId="0" borderId="0" xfId="0" applyFont="1">
      <alignment vertical="center"/>
    </xf>
    <xf numFmtId="0" fontId="17" fillId="4" borderId="13" xfId="0" applyFont="1" applyFill="1" applyBorder="1" applyAlignment="1" applyProtection="1">
      <alignment horizontal="center" vertical="center" wrapText="1"/>
      <protection locked="0"/>
    </xf>
    <xf numFmtId="0" fontId="17" fillId="5" borderId="13" xfId="0" applyFont="1" applyFill="1" applyBorder="1" applyAlignment="1" applyProtection="1">
      <alignment horizontal="center" vertical="center" wrapText="1"/>
      <protection locked="0"/>
    </xf>
    <xf numFmtId="9" fontId="3" fillId="13" borderId="19" xfId="3" applyFont="1" applyFill="1" applyBorder="1" applyAlignment="1" applyProtection="1">
      <alignment horizontal="center" vertical="top" wrapText="1"/>
      <protection locked="0"/>
    </xf>
    <xf numFmtId="9" fontId="3" fillId="13" borderId="10" xfId="3" applyFont="1" applyFill="1" applyBorder="1" applyAlignment="1" applyProtection="1">
      <alignment horizontal="center" vertical="top" wrapText="1"/>
      <protection locked="0"/>
    </xf>
    <xf numFmtId="9" fontId="3" fillId="13" borderId="11" xfId="3" applyFont="1" applyFill="1" applyBorder="1" applyAlignment="1" applyProtection="1">
      <alignment horizontal="center" vertical="top" wrapText="1"/>
      <protection locked="0"/>
    </xf>
    <xf numFmtId="0" fontId="3" fillId="13" borderId="6" xfId="0" applyFont="1" applyFill="1" applyBorder="1" applyAlignment="1" applyProtection="1">
      <alignment horizontal="center" vertical="top" wrapText="1"/>
      <protection locked="0"/>
    </xf>
    <xf numFmtId="0" fontId="3" fillId="13" borderId="8" xfId="0" applyFont="1" applyFill="1" applyBorder="1" applyAlignment="1" applyProtection="1">
      <alignment horizontal="center" vertical="top" wrapText="1"/>
      <protection locked="0"/>
    </xf>
    <xf numFmtId="0" fontId="24" fillId="0" borderId="0" xfId="0" applyFont="1" applyAlignment="1">
      <alignment horizontal="center" vertical="center" wrapText="1"/>
    </xf>
    <xf numFmtId="9" fontId="29" fillId="7" borderId="19" xfId="5" applyNumberFormat="1" applyFont="1" applyFill="1" applyBorder="1" applyAlignment="1" applyProtection="1">
      <alignment horizontal="center" vertical="top" shrinkToFit="1"/>
      <protection locked="0"/>
    </xf>
    <xf numFmtId="9" fontId="29" fillId="7" borderId="10" xfId="5" applyNumberFormat="1" applyFont="1" applyFill="1" applyBorder="1" applyAlignment="1" applyProtection="1">
      <alignment horizontal="center" vertical="top" shrinkToFit="1"/>
      <protection locked="0"/>
    </xf>
    <xf numFmtId="9" fontId="29" fillId="7" borderId="11" xfId="5" applyNumberFormat="1" applyFont="1" applyFill="1" applyBorder="1" applyAlignment="1" applyProtection="1">
      <alignment horizontal="center" vertical="top" shrinkToFit="1"/>
      <protection locked="0"/>
    </xf>
    <xf numFmtId="9" fontId="10" fillId="13" borderId="9" xfId="0" applyNumberFormat="1" applyFont="1" applyFill="1" applyBorder="1" applyAlignment="1">
      <alignment horizontal="center" vertical="center" wrapText="1"/>
    </xf>
    <xf numFmtId="0" fontId="10" fillId="13" borderId="9" xfId="0" applyFont="1" applyFill="1" applyBorder="1" applyAlignment="1">
      <alignment horizontal="center" vertical="center" wrapText="1"/>
    </xf>
    <xf numFmtId="0" fontId="10" fillId="13" borderId="27" xfId="0" applyFont="1" applyFill="1" applyBorder="1" applyAlignment="1">
      <alignment horizontal="left" vertical="center" wrapText="1"/>
    </xf>
    <xf numFmtId="9" fontId="10" fillId="13" borderId="28" xfId="0" applyNumberFormat="1" applyFont="1" applyFill="1" applyBorder="1" applyAlignment="1">
      <alignment horizontal="center" vertical="center" wrapText="1"/>
    </xf>
    <xf numFmtId="9" fontId="10" fillId="13" borderId="29" xfId="0" applyNumberFormat="1" applyFont="1" applyFill="1" applyBorder="1" applyAlignment="1">
      <alignment horizontal="center" vertical="center" wrapText="1"/>
    </xf>
    <xf numFmtId="0" fontId="10" fillId="13" borderId="30" xfId="0" applyFont="1" applyFill="1" applyBorder="1" applyAlignment="1">
      <alignment horizontal="left" vertical="center" wrapText="1"/>
    </xf>
    <xf numFmtId="9" fontId="10" fillId="13" borderId="31" xfId="0" applyNumberFormat="1" applyFont="1" applyFill="1" applyBorder="1" applyAlignment="1">
      <alignment horizontal="center" vertical="center" wrapText="1"/>
    </xf>
    <xf numFmtId="0" fontId="10" fillId="13" borderId="30" xfId="0" applyFont="1" applyFill="1" applyBorder="1" applyAlignment="1">
      <alignment horizontal="center" vertical="center" wrapText="1"/>
    </xf>
    <xf numFmtId="0" fontId="10" fillId="13" borderId="31" xfId="0" applyFont="1" applyFill="1" applyBorder="1" applyAlignment="1">
      <alignment horizontal="center" vertical="center" wrapText="1"/>
    </xf>
    <xf numFmtId="0" fontId="10" fillId="13" borderId="32" xfId="0" applyFont="1" applyFill="1" applyBorder="1" applyAlignment="1">
      <alignment horizontal="center" vertical="center" wrapText="1"/>
    </xf>
    <xf numFmtId="0" fontId="10" fillId="13" borderId="33" xfId="0" applyFont="1" applyFill="1" applyBorder="1" applyAlignment="1">
      <alignment horizontal="center" vertical="center" wrapText="1"/>
    </xf>
    <xf numFmtId="0" fontId="10" fillId="13" borderId="34" xfId="0" applyFont="1" applyFill="1" applyBorder="1" applyAlignment="1">
      <alignment horizontal="center" vertical="center" wrapText="1"/>
    </xf>
    <xf numFmtId="0" fontId="28" fillId="7" borderId="19" xfId="3" applyNumberFormat="1" applyFont="1" applyFill="1" applyBorder="1" applyAlignment="1" applyProtection="1">
      <alignment horizontal="center" vertical="top" wrapText="1"/>
      <protection locked="0"/>
    </xf>
    <xf numFmtId="0" fontId="28" fillId="7" borderId="10" xfId="3" applyNumberFormat="1" applyFont="1" applyFill="1" applyBorder="1" applyAlignment="1" applyProtection="1">
      <alignment horizontal="center" vertical="top" wrapText="1"/>
      <protection locked="0"/>
    </xf>
    <xf numFmtId="0" fontId="28" fillId="7" borderId="11" xfId="3" applyNumberFormat="1" applyFont="1" applyFill="1" applyBorder="1" applyAlignment="1" applyProtection="1">
      <alignment horizontal="center" vertical="top" wrapText="1"/>
      <protection locked="0"/>
    </xf>
    <xf numFmtId="182" fontId="3" fillId="7" borderId="19" xfId="0" applyNumberFormat="1" applyFont="1" applyFill="1" applyBorder="1" applyAlignment="1" applyProtection="1">
      <alignment horizontal="center" vertical="top" wrapText="1"/>
      <protection locked="0"/>
    </xf>
    <xf numFmtId="0" fontId="31" fillId="7" borderId="20" xfId="0" applyFont="1" applyFill="1" applyBorder="1" applyAlignment="1" applyProtection="1">
      <alignment horizontal="center" vertical="top" wrapText="1"/>
      <protection locked="0"/>
    </xf>
    <xf numFmtId="182" fontId="3" fillId="7" borderId="18" xfId="0" applyNumberFormat="1" applyFont="1" applyFill="1" applyBorder="1" applyAlignment="1" applyProtection="1">
      <alignment horizontal="center" vertical="top" wrapText="1"/>
      <protection locked="0"/>
    </xf>
    <xf numFmtId="1" fontId="3" fillId="13" borderId="18" xfId="0" applyNumberFormat="1" applyFont="1" applyFill="1" applyBorder="1" applyAlignment="1" applyProtection="1">
      <alignment horizontal="center" vertical="top" wrapText="1"/>
      <protection locked="0"/>
    </xf>
    <xf numFmtId="1" fontId="3" fillId="13" borderId="19" xfId="0" applyNumberFormat="1" applyFont="1" applyFill="1" applyBorder="1" applyAlignment="1" applyProtection="1">
      <alignment horizontal="center" vertical="top" wrapText="1"/>
      <protection locked="0"/>
    </xf>
    <xf numFmtId="182" fontId="3" fillId="7" borderId="10" xfId="0" applyNumberFormat="1" applyFont="1" applyFill="1" applyBorder="1" applyAlignment="1" applyProtection="1">
      <alignment horizontal="center" vertical="top" wrapText="1"/>
      <protection locked="0"/>
    </xf>
    <xf numFmtId="0" fontId="31" fillId="7" borderId="6" xfId="0" applyFont="1" applyFill="1" applyBorder="1" applyAlignment="1" applyProtection="1">
      <alignment horizontal="center" vertical="top" wrapText="1"/>
      <protection locked="0"/>
    </xf>
    <xf numFmtId="182" fontId="3" fillId="7" borderId="5" xfId="0" applyNumberFormat="1" applyFont="1" applyFill="1" applyBorder="1" applyAlignment="1" applyProtection="1">
      <alignment horizontal="center" vertical="top" wrapText="1"/>
      <protection locked="0"/>
    </xf>
    <xf numFmtId="1" fontId="3" fillId="13" borderId="5" xfId="0" applyNumberFormat="1" applyFont="1" applyFill="1" applyBorder="1" applyAlignment="1" applyProtection="1">
      <alignment horizontal="center" vertical="top" wrapText="1"/>
      <protection locked="0"/>
    </xf>
    <xf numFmtId="1" fontId="3" fillId="13" borderId="10" xfId="0" applyNumberFormat="1" applyFont="1" applyFill="1" applyBorder="1" applyAlignment="1" applyProtection="1">
      <alignment horizontal="center" vertical="top" wrapText="1"/>
      <protection locked="0"/>
    </xf>
    <xf numFmtId="182" fontId="3" fillId="7" borderId="11" xfId="0" applyNumberFormat="1" applyFont="1" applyFill="1" applyBorder="1" applyAlignment="1" applyProtection="1">
      <alignment horizontal="center" vertical="top" wrapText="1"/>
      <protection locked="0"/>
    </xf>
    <xf numFmtId="0" fontId="31" fillId="7" borderId="8" xfId="0" applyFont="1" applyFill="1" applyBorder="1" applyAlignment="1" applyProtection="1">
      <alignment horizontal="center" vertical="top" wrapText="1"/>
      <protection locked="0"/>
    </xf>
    <xf numFmtId="182" fontId="3" fillId="7" borderId="7" xfId="0" applyNumberFormat="1" applyFont="1" applyFill="1" applyBorder="1" applyAlignment="1" applyProtection="1">
      <alignment horizontal="center" vertical="top" wrapText="1"/>
      <protection locked="0"/>
    </xf>
    <xf numFmtId="1" fontId="3" fillId="13" borderId="7" xfId="0" applyNumberFormat="1" applyFont="1" applyFill="1" applyBorder="1" applyAlignment="1" applyProtection="1">
      <alignment horizontal="center" vertical="top" wrapText="1"/>
      <protection locked="0"/>
    </xf>
    <xf numFmtId="1" fontId="3" fillId="13" borderId="11" xfId="0" applyNumberFormat="1" applyFont="1" applyFill="1" applyBorder="1" applyAlignment="1" applyProtection="1">
      <alignment horizontal="center" vertical="top" wrapText="1"/>
      <protection locked="0"/>
    </xf>
    <xf numFmtId="0" fontId="3" fillId="13" borderId="19" xfId="0" applyFont="1" applyFill="1" applyBorder="1" applyAlignment="1" applyProtection="1">
      <alignment horizontal="center" vertical="top" wrapText="1"/>
      <protection locked="0"/>
    </xf>
    <xf numFmtId="0" fontId="3" fillId="13" borderId="10" xfId="0" applyFont="1" applyFill="1" applyBorder="1" applyAlignment="1" applyProtection="1">
      <alignment horizontal="center" vertical="top" wrapText="1"/>
      <protection locked="0"/>
    </xf>
    <xf numFmtId="0" fontId="3" fillId="13" borderId="11" xfId="0" applyFont="1" applyFill="1" applyBorder="1" applyAlignment="1" applyProtection="1">
      <alignment horizontal="center" vertical="top" wrapText="1"/>
      <protection locked="0"/>
    </xf>
    <xf numFmtId="0" fontId="3" fillId="12" borderId="19" xfId="0" applyFont="1" applyFill="1" applyBorder="1" applyAlignment="1" applyProtection="1">
      <alignment horizontal="center" vertical="top" wrapText="1"/>
      <protection locked="0"/>
    </xf>
    <xf numFmtId="0" fontId="3" fillId="8" borderId="20" xfId="0" applyFont="1" applyFill="1" applyBorder="1" applyAlignment="1" applyProtection="1">
      <alignment horizontal="left" vertical="top" wrapText="1"/>
      <protection locked="0"/>
    </xf>
    <xf numFmtId="0" fontId="28" fillId="8" borderId="19" xfId="0" applyFont="1" applyFill="1" applyBorder="1" applyAlignment="1" applyProtection="1">
      <alignment horizontal="left" vertical="top" wrapText="1"/>
      <protection locked="0"/>
    </xf>
    <xf numFmtId="0" fontId="3" fillId="13" borderId="21" xfId="0" applyFont="1" applyFill="1" applyBorder="1" applyAlignment="1" applyProtection="1">
      <alignment horizontal="center" vertical="top" wrapText="1"/>
      <protection locked="0"/>
    </xf>
    <xf numFmtId="0" fontId="3" fillId="13" borderId="20" xfId="0" applyFont="1" applyFill="1" applyBorder="1" applyAlignment="1" applyProtection="1">
      <alignment horizontal="center" vertical="top" wrapText="1"/>
      <protection locked="0"/>
    </xf>
    <xf numFmtId="38" fontId="16" fillId="0" borderId="0" xfId="5" applyFont="1" applyAlignment="1">
      <alignment horizontal="center" vertical="center" shrinkToFit="1"/>
    </xf>
    <xf numFmtId="183" fontId="3" fillId="7" borderId="10" xfId="5" applyNumberFormat="1" applyFont="1" applyFill="1" applyBorder="1" applyAlignment="1" applyProtection="1">
      <alignment horizontal="center" vertical="top" wrapText="1"/>
      <protection locked="0"/>
    </xf>
    <xf numFmtId="183" fontId="3" fillId="7" borderId="11" xfId="5" applyNumberFormat="1" applyFont="1" applyFill="1" applyBorder="1" applyAlignment="1" applyProtection="1">
      <alignment horizontal="center" vertical="top" wrapText="1"/>
      <protection locked="0"/>
    </xf>
    <xf numFmtId="183" fontId="16" fillId="6" borderId="1" xfId="5" applyNumberFormat="1" applyFont="1" applyFill="1" applyBorder="1" applyAlignment="1">
      <alignment horizontal="center" vertical="center" shrinkToFit="1"/>
    </xf>
    <xf numFmtId="0" fontId="30" fillId="4" borderId="13" xfId="0" applyFont="1" applyFill="1" applyBorder="1" applyAlignment="1" applyProtection="1">
      <alignment horizontal="center" vertical="center" wrapText="1"/>
      <protection locked="0"/>
    </xf>
    <xf numFmtId="14" fontId="21" fillId="0" borderId="0" xfId="0" applyNumberFormat="1" applyFont="1">
      <alignment vertical="center"/>
    </xf>
    <xf numFmtId="0" fontId="37" fillId="5" borderId="13" xfId="0" applyFont="1" applyFill="1" applyBorder="1" applyAlignment="1" applyProtection="1">
      <alignment horizontal="center" vertical="center" wrapText="1"/>
      <protection locked="0"/>
    </xf>
    <xf numFmtId="0" fontId="35" fillId="8" borderId="10" xfId="0" applyFont="1" applyFill="1" applyBorder="1" applyAlignment="1" applyProtection="1">
      <alignment horizontal="center" vertical="top" wrapText="1"/>
      <protection locked="0"/>
    </xf>
    <xf numFmtId="0" fontId="3" fillId="0" borderId="5" xfId="0" applyFont="1" applyBorder="1" applyAlignment="1" applyProtection="1">
      <alignment horizontal="right" vertical="top" wrapText="1"/>
      <protection locked="0"/>
    </xf>
    <xf numFmtId="181" fontId="35" fillId="13" borderId="10" xfId="0" applyNumberFormat="1" applyFont="1" applyFill="1" applyBorder="1" applyAlignment="1" applyProtection="1">
      <alignment horizontal="center" vertical="top" wrapText="1"/>
      <protection locked="0"/>
    </xf>
    <xf numFmtId="14" fontId="4" fillId="0" borderId="0" xfId="0" applyNumberFormat="1" applyFont="1" applyProtection="1">
      <alignment vertical="center"/>
      <protection locked="0"/>
    </xf>
    <xf numFmtId="0" fontId="30" fillId="5" borderId="62" xfId="0" applyFont="1" applyFill="1" applyBorder="1" applyAlignment="1" applyProtection="1">
      <alignment horizontal="center" vertical="center" wrapText="1"/>
      <protection locked="0"/>
    </xf>
    <xf numFmtId="0" fontId="30" fillId="4" borderId="62" xfId="0" applyFont="1" applyFill="1" applyBorder="1" applyAlignment="1" applyProtection="1">
      <alignment horizontal="center" vertical="center" wrapText="1"/>
      <protection locked="0"/>
    </xf>
    <xf numFmtId="177" fontId="31" fillId="3" borderId="15" xfId="0" applyNumberFormat="1" applyFont="1" applyFill="1" applyBorder="1" applyAlignment="1" applyProtection="1">
      <alignment horizontal="center" vertical="center" wrapText="1"/>
      <protection locked="0"/>
    </xf>
    <xf numFmtId="177" fontId="31" fillId="3" borderId="16" xfId="0" applyNumberFormat="1" applyFont="1" applyFill="1" applyBorder="1" applyAlignment="1" applyProtection="1">
      <alignment horizontal="center" vertical="center" wrapText="1"/>
      <protection locked="0"/>
    </xf>
    <xf numFmtId="177" fontId="141" fillId="0" borderId="0" xfId="0" applyNumberFormat="1" applyFont="1" applyAlignment="1" applyProtection="1">
      <alignment horizontal="center" vertical="center" wrapText="1"/>
      <protection locked="0"/>
    </xf>
    <xf numFmtId="0" fontId="3" fillId="0" borderId="10" xfId="0" applyFont="1" applyBorder="1" applyAlignment="1" applyProtection="1">
      <alignment horizontal="left" vertical="top"/>
      <protection locked="0"/>
    </xf>
    <xf numFmtId="0" fontId="3" fillId="0" borderId="0" xfId="0" applyFont="1" applyAlignment="1" applyProtection="1">
      <alignment horizontal="center" vertical="center" wrapText="1"/>
      <protection locked="0"/>
    </xf>
    <xf numFmtId="38" fontId="3" fillId="7" borderId="67" xfId="5" applyFont="1" applyFill="1" applyBorder="1" applyAlignment="1" applyProtection="1">
      <alignment horizontal="center" vertical="top" wrapText="1"/>
      <protection locked="0"/>
    </xf>
    <xf numFmtId="181" fontId="3" fillId="13" borderId="67" xfId="0" applyNumberFormat="1" applyFont="1" applyFill="1" applyBorder="1" applyAlignment="1" applyProtection="1">
      <alignment horizontal="center" vertical="top" wrapText="1"/>
      <protection locked="0"/>
    </xf>
    <xf numFmtId="0" fontId="3" fillId="0" borderId="10" xfId="0" applyFont="1" applyBorder="1" applyAlignment="1" applyProtection="1">
      <alignment horizontal="left" vertical="top" wrapText="1"/>
      <protection locked="0"/>
    </xf>
    <xf numFmtId="0" fontId="3" fillId="0" borderId="22" xfId="0" applyFont="1" applyBorder="1" applyAlignment="1" applyProtection="1">
      <alignment horizontal="left" vertical="top"/>
      <protection locked="0"/>
    </xf>
    <xf numFmtId="181" fontId="142" fillId="8" borderId="6" xfId="0" applyNumberFormat="1" applyFont="1" applyFill="1" applyBorder="1" applyAlignment="1" applyProtection="1">
      <alignment horizontal="center" vertical="top" wrapText="1"/>
      <protection locked="0"/>
    </xf>
    <xf numFmtId="0" fontId="17" fillId="4" borderId="59" xfId="0" applyFont="1" applyFill="1" applyBorder="1" applyAlignment="1">
      <alignment horizontal="center" vertical="center" wrapText="1"/>
    </xf>
    <xf numFmtId="0" fontId="17" fillId="5" borderId="59" xfId="0" applyFont="1" applyFill="1" applyBorder="1" applyAlignment="1">
      <alignment horizontal="center" vertical="center" wrapText="1"/>
    </xf>
    <xf numFmtId="182" fontId="10" fillId="13" borderId="59" xfId="0" applyNumberFormat="1" applyFont="1" applyFill="1" applyBorder="1" applyAlignment="1" applyProtection="1">
      <alignment horizontal="center" vertical="center" wrapText="1"/>
      <protection locked="0"/>
    </xf>
    <xf numFmtId="182" fontId="10" fillId="7" borderId="59" xfId="0" applyNumberFormat="1" applyFont="1" applyFill="1" applyBorder="1" applyAlignment="1" applyProtection="1">
      <alignment horizontal="center" vertical="center" wrapText="1"/>
      <protection locked="0"/>
    </xf>
    <xf numFmtId="0" fontId="17" fillId="14" borderId="59" xfId="0" applyFont="1" applyFill="1" applyBorder="1" applyAlignment="1">
      <alignment horizontal="center" vertical="center" wrapText="1"/>
    </xf>
    <xf numFmtId="9" fontId="10" fillId="13" borderId="59" xfId="3" applyFont="1" applyFill="1" applyBorder="1" applyAlignment="1" applyProtection="1">
      <alignment horizontal="center" vertical="center" wrapText="1"/>
      <protection locked="0"/>
    </xf>
    <xf numFmtId="9" fontId="16" fillId="7" borderId="59" xfId="3" applyFont="1" applyFill="1" applyBorder="1" applyAlignment="1" applyProtection="1">
      <alignment horizontal="center" vertical="center" wrapText="1"/>
      <protection locked="0"/>
    </xf>
    <xf numFmtId="0" fontId="19" fillId="7" borderId="59" xfId="0" applyFont="1" applyFill="1" applyBorder="1">
      <alignment vertical="center"/>
    </xf>
    <xf numFmtId="0" fontId="13" fillId="9" borderId="59" xfId="6" applyFont="1" applyFill="1" applyBorder="1">
      <alignment vertical="center"/>
    </xf>
    <xf numFmtId="0" fontId="15" fillId="10" borderId="59" xfId="6" applyFont="1" applyFill="1" applyBorder="1" applyAlignment="1">
      <alignment horizontal="left" vertical="center"/>
    </xf>
    <xf numFmtId="0" fontId="15" fillId="0" borderId="59" xfId="6" applyFont="1" applyBorder="1" applyAlignment="1">
      <alignment horizontal="left" vertical="center"/>
    </xf>
    <xf numFmtId="22" fontId="15" fillId="0" borderId="59" xfId="6" applyNumberFormat="1" applyFont="1" applyBorder="1" applyAlignment="1">
      <alignment horizontal="left" vertical="center"/>
    </xf>
    <xf numFmtId="181" fontId="10" fillId="13" borderId="10" xfId="0" applyNumberFormat="1" applyFont="1" applyFill="1" applyBorder="1" applyAlignment="1" applyProtection="1">
      <alignment horizontal="center" vertical="top" wrapText="1"/>
      <protection locked="0"/>
    </xf>
    <xf numFmtId="0" fontId="3" fillId="58" borderId="10" xfId="0" applyFont="1" applyFill="1" applyBorder="1" applyAlignment="1" applyProtection="1">
      <alignment horizontal="left" vertical="top" wrapText="1"/>
      <protection locked="0"/>
    </xf>
    <xf numFmtId="0" fontId="30" fillId="4" borderId="2" xfId="0" applyFont="1" applyFill="1" applyBorder="1" applyAlignment="1" applyProtection="1">
      <alignment horizontal="center" vertical="center" wrapText="1"/>
      <protection locked="0"/>
    </xf>
    <xf numFmtId="0" fontId="30" fillId="4" borderId="13" xfId="0" applyFont="1" applyFill="1" applyBorder="1" applyAlignment="1" applyProtection="1">
      <alignment horizontal="center" vertical="center" wrapText="1"/>
      <protection locked="0"/>
    </xf>
    <xf numFmtId="0" fontId="20" fillId="0" borderId="0" xfId="0" applyFont="1" applyAlignment="1">
      <alignment horizontal="left" vertical="center" wrapText="1"/>
    </xf>
    <xf numFmtId="0" fontId="17" fillId="2" borderId="2" xfId="0" applyFont="1" applyFill="1" applyBorder="1" applyAlignment="1" applyProtection="1">
      <alignment horizontal="center" vertical="center" wrapText="1"/>
      <protection locked="0"/>
    </xf>
    <xf numFmtId="0" fontId="17" fillId="2" borderId="13" xfId="0" applyFont="1" applyFill="1" applyBorder="1" applyAlignment="1" applyProtection="1">
      <alignment horizontal="center" vertical="center" wrapText="1"/>
      <protection locked="0"/>
    </xf>
    <xf numFmtId="0" fontId="17" fillId="5" borderId="2" xfId="0" applyFont="1" applyFill="1" applyBorder="1" applyAlignment="1" applyProtection="1">
      <alignment horizontal="center" vertical="center" wrapText="1"/>
      <protection locked="0"/>
    </xf>
    <xf numFmtId="0" fontId="17" fillId="5" borderId="13" xfId="0" applyFont="1" applyFill="1" applyBorder="1" applyAlignment="1" applyProtection="1">
      <alignment horizontal="center" vertical="center" wrapText="1"/>
      <protection locked="0"/>
    </xf>
    <xf numFmtId="179" fontId="17" fillId="4" borderId="2" xfId="0" applyNumberFormat="1" applyFont="1" applyFill="1" applyBorder="1" applyAlignment="1" applyProtection="1">
      <alignment horizontal="center" vertical="center" wrapText="1"/>
      <protection locked="0"/>
    </xf>
    <xf numFmtId="179" fontId="17" fillId="4" borderId="13" xfId="0" applyNumberFormat="1" applyFont="1" applyFill="1" applyBorder="1" applyAlignment="1" applyProtection="1">
      <alignment horizontal="center" vertical="center" wrapText="1"/>
      <protection locked="0"/>
    </xf>
    <xf numFmtId="0" fontId="17" fillId="4" borderId="62" xfId="0" applyFont="1" applyFill="1" applyBorder="1" applyAlignment="1" applyProtection="1">
      <alignment horizontal="center" vertical="center" wrapText="1"/>
      <protection locked="0"/>
    </xf>
    <xf numFmtId="0" fontId="17" fillId="4" borderId="60" xfId="0" applyFont="1" applyFill="1" applyBorder="1" applyAlignment="1" applyProtection="1">
      <alignment horizontal="center" vertical="center" wrapText="1"/>
      <protection locked="0"/>
    </xf>
    <xf numFmtId="0" fontId="17" fillId="4" borderId="9" xfId="0" applyFont="1" applyFill="1" applyBorder="1" applyAlignment="1" applyProtection="1">
      <alignment horizontal="center" vertical="center" wrapText="1"/>
      <protection locked="0"/>
    </xf>
    <xf numFmtId="0" fontId="17" fillId="3" borderId="62" xfId="0" applyFont="1" applyFill="1" applyBorder="1" applyAlignment="1" applyProtection="1">
      <alignment horizontal="center" vertical="center" wrapText="1"/>
      <protection locked="0"/>
    </xf>
    <xf numFmtId="0" fontId="17" fillId="3" borderId="9" xfId="0" applyFont="1" applyFill="1" applyBorder="1" applyAlignment="1" applyProtection="1">
      <alignment horizontal="center" vertical="center" wrapText="1"/>
      <protection locked="0"/>
    </xf>
    <xf numFmtId="178" fontId="17" fillId="2" borderId="2" xfId="0" applyNumberFormat="1" applyFont="1" applyFill="1" applyBorder="1" applyAlignment="1" applyProtection="1">
      <alignment horizontal="center" vertical="center" wrapText="1"/>
      <protection locked="0"/>
    </xf>
    <xf numFmtId="178" fontId="17" fillId="2" borderId="13" xfId="0" applyNumberFormat="1" applyFont="1" applyFill="1" applyBorder="1" applyAlignment="1" applyProtection="1">
      <alignment horizontal="center" vertical="center" wrapText="1"/>
      <protection locked="0"/>
    </xf>
    <xf numFmtId="14" fontId="11" fillId="9" borderId="59" xfId="4" applyNumberFormat="1" applyFont="1" applyFill="1" applyBorder="1" applyAlignment="1">
      <alignment horizontal="center" vertical="center"/>
    </xf>
    <xf numFmtId="14" fontId="36" fillId="0" borderId="62" xfId="4" applyNumberFormat="1" applyFont="1" applyBorder="1" applyAlignment="1" applyProtection="1">
      <alignment horizontal="left" vertical="center"/>
      <protection locked="0"/>
    </xf>
    <xf numFmtId="14" fontId="11" fillId="0" borderId="9" xfId="4" applyNumberFormat="1" applyFont="1" applyBorder="1" applyAlignment="1" applyProtection="1">
      <alignment horizontal="left" vertical="center"/>
      <protection locked="0"/>
    </xf>
    <xf numFmtId="14" fontId="36" fillId="0" borderId="62" xfId="4" applyNumberFormat="1" applyFont="1" applyBorder="1" applyAlignment="1" applyProtection="1">
      <alignment horizontal="left" vertical="center" wrapText="1"/>
      <protection locked="0"/>
    </xf>
    <xf numFmtId="0" fontId="18" fillId="9" borderId="62" xfId="0" applyFont="1" applyFill="1" applyBorder="1" applyAlignment="1">
      <alignment horizontal="center" vertical="center" shrinkToFit="1"/>
    </xf>
    <xf numFmtId="0" fontId="18" fillId="9" borderId="60" xfId="0" applyFont="1" applyFill="1" applyBorder="1" applyAlignment="1">
      <alignment horizontal="center" vertical="center" shrinkToFit="1"/>
    </xf>
    <xf numFmtId="0" fontId="18" fillId="9" borderId="9" xfId="0" applyFont="1" applyFill="1" applyBorder="1" applyAlignment="1">
      <alignment horizontal="center" vertical="center" shrinkToFit="1"/>
    </xf>
    <xf numFmtId="0" fontId="17" fillId="14" borderId="59" xfId="0" applyFont="1" applyFill="1" applyBorder="1" applyAlignment="1">
      <alignment horizontal="center" vertical="center" wrapText="1"/>
    </xf>
    <xf numFmtId="177" fontId="17" fillId="4" borderId="62" xfId="0" applyNumberFormat="1" applyFont="1" applyFill="1" applyBorder="1" applyAlignment="1" applyProtection="1">
      <alignment horizontal="center" vertical="center" wrapText="1"/>
      <protection locked="0"/>
    </xf>
    <xf numFmtId="177" fontId="17" fillId="4" borderId="9" xfId="0" applyNumberFormat="1" applyFont="1" applyFill="1" applyBorder="1" applyAlignment="1" applyProtection="1">
      <alignment horizontal="center" vertical="center" wrapText="1"/>
      <protection locked="0"/>
    </xf>
    <xf numFmtId="0" fontId="17" fillId="4" borderId="2" xfId="0" applyFont="1" applyFill="1" applyBorder="1" applyAlignment="1" applyProtection="1">
      <alignment horizontal="center" vertical="center" wrapText="1"/>
      <protection locked="0"/>
    </xf>
    <xf numFmtId="0" fontId="17" fillId="4" borderId="13" xfId="0" applyFont="1" applyFill="1" applyBorder="1" applyAlignment="1" applyProtection="1">
      <alignment horizontal="center" vertical="center" wrapText="1"/>
      <protection locked="0"/>
    </xf>
    <xf numFmtId="177" fontId="17" fillId="5" borderId="62" xfId="0" applyNumberFormat="1" applyFont="1" applyFill="1" applyBorder="1" applyAlignment="1" applyProtection="1">
      <alignment horizontal="center" vertical="center" wrapText="1"/>
      <protection locked="0"/>
    </xf>
    <xf numFmtId="177" fontId="17" fillId="5" borderId="9" xfId="0" applyNumberFormat="1" applyFont="1" applyFill="1" applyBorder="1" applyAlignment="1" applyProtection="1">
      <alignment horizontal="center" vertical="center" wrapText="1"/>
      <protection locked="0"/>
    </xf>
    <xf numFmtId="179" fontId="17" fillId="5" borderId="2" xfId="0" applyNumberFormat="1" applyFont="1" applyFill="1" applyBorder="1" applyAlignment="1" applyProtection="1">
      <alignment horizontal="center" vertical="center" wrapText="1"/>
      <protection locked="0"/>
    </xf>
    <xf numFmtId="179" fontId="17" fillId="5" borderId="13" xfId="0" applyNumberFormat="1" applyFont="1" applyFill="1" applyBorder="1" applyAlignment="1" applyProtection="1">
      <alignment horizontal="center" vertical="center" wrapText="1"/>
      <protection locked="0"/>
    </xf>
    <xf numFmtId="0" fontId="17" fillId="5" borderId="62" xfId="0" applyFont="1" applyFill="1" applyBorder="1" applyAlignment="1" applyProtection="1">
      <alignment horizontal="center" vertical="center" wrapText="1"/>
      <protection locked="0"/>
    </xf>
    <xf numFmtId="0" fontId="17" fillId="5" borderId="60" xfId="0" applyFont="1" applyFill="1" applyBorder="1" applyAlignment="1" applyProtection="1">
      <alignment horizontal="center" vertical="center" wrapText="1"/>
      <protection locked="0"/>
    </xf>
    <xf numFmtId="0" fontId="17" fillId="5" borderId="9" xfId="0" applyFont="1" applyFill="1" applyBorder="1" applyAlignment="1" applyProtection="1">
      <alignment horizontal="center" vertical="center" wrapText="1"/>
      <protection locked="0"/>
    </xf>
    <xf numFmtId="179" fontId="17" fillId="3" borderId="2" xfId="0" applyNumberFormat="1" applyFont="1" applyFill="1" applyBorder="1" applyAlignment="1" applyProtection="1">
      <alignment horizontal="center" vertical="center" wrapText="1"/>
      <protection locked="0"/>
    </xf>
    <xf numFmtId="179" fontId="17" fillId="3" borderId="13" xfId="0" applyNumberFormat="1" applyFont="1" applyFill="1" applyBorder="1" applyAlignment="1" applyProtection="1">
      <alignment horizontal="center" vertical="center" wrapText="1"/>
      <protection locked="0"/>
    </xf>
    <xf numFmtId="0" fontId="17" fillId="4" borderId="17" xfId="0" applyFont="1" applyFill="1" applyBorder="1" applyAlignment="1" applyProtection="1">
      <alignment horizontal="center" vertical="center" wrapText="1"/>
      <protection locked="0"/>
    </xf>
    <xf numFmtId="0" fontId="17" fillId="4" borderId="14" xfId="0" applyFont="1" applyFill="1" applyBorder="1" applyAlignment="1" applyProtection="1">
      <alignment horizontal="center" vertical="center" wrapText="1"/>
      <protection locked="0"/>
    </xf>
    <xf numFmtId="177" fontId="31" fillId="3" borderId="62" xfId="0" applyNumberFormat="1" applyFont="1" applyFill="1" applyBorder="1" applyAlignment="1" applyProtection="1">
      <alignment horizontal="center" vertical="center" wrapText="1"/>
      <protection locked="0"/>
    </xf>
    <xf numFmtId="177" fontId="31" fillId="3" borderId="9" xfId="0" applyNumberFormat="1" applyFont="1" applyFill="1" applyBorder="1" applyAlignment="1" applyProtection="1">
      <alignment horizontal="center" vertical="center" wrapText="1"/>
      <protection locked="0"/>
    </xf>
    <xf numFmtId="0" fontId="31" fillId="3" borderId="2" xfId="0" applyFont="1" applyFill="1" applyBorder="1" applyAlignment="1" applyProtection="1">
      <alignment horizontal="center" vertical="center" wrapText="1"/>
      <protection locked="0"/>
    </xf>
    <xf numFmtId="0" fontId="31" fillId="3" borderId="13" xfId="0" applyFont="1" applyFill="1" applyBorder="1" applyAlignment="1" applyProtection="1">
      <alignment horizontal="center" vertical="center" wrapText="1"/>
      <protection locked="0"/>
    </xf>
    <xf numFmtId="0" fontId="17" fillId="4" borderId="62" xfId="0" applyFont="1" applyFill="1" applyBorder="1" applyAlignment="1">
      <alignment horizontal="center" vertical="center" wrapText="1"/>
    </xf>
    <xf numFmtId="0" fontId="17" fillId="4" borderId="9" xfId="0" applyFont="1" applyFill="1" applyBorder="1" applyAlignment="1">
      <alignment horizontal="center" vertical="center" wrapText="1"/>
    </xf>
    <xf numFmtId="0" fontId="17" fillId="3" borderId="60" xfId="0" applyFont="1" applyFill="1" applyBorder="1" applyAlignment="1" applyProtection="1">
      <alignment horizontal="center" vertical="center" wrapText="1"/>
      <protection locked="0"/>
    </xf>
    <xf numFmtId="179" fontId="31" fillId="3" borderId="2" xfId="0" applyNumberFormat="1" applyFont="1" applyFill="1" applyBorder="1" applyAlignment="1" applyProtection="1">
      <alignment horizontal="center" vertical="center" wrapText="1"/>
      <protection locked="0"/>
    </xf>
    <xf numFmtId="179" fontId="31" fillId="3" borderId="13" xfId="0" applyNumberFormat="1" applyFont="1" applyFill="1" applyBorder="1" applyAlignment="1" applyProtection="1">
      <alignment horizontal="center" vertical="center" wrapText="1"/>
      <protection locked="0"/>
    </xf>
    <xf numFmtId="0" fontId="17" fillId="5" borderId="62" xfId="0" applyFont="1" applyFill="1" applyBorder="1" applyAlignment="1">
      <alignment horizontal="center" vertical="center" wrapText="1"/>
    </xf>
    <xf numFmtId="0" fontId="17" fillId="5" borderId="9" xfId="0" applyFont="1" applyFill="1" applyBorder="1" applyAlignment="1">
      <alignment horizontal="center" vertical="center" wrapText="1"/>
    </xf>
    <xf numFmtId="0" fontId="30" fillId="5" borderId="2" xfId="0" applyFont="1" applyFill="1" applyBorder="1" applyAlignment="1" applyProtection="1">
      <alignment horizontal="center" vertical="center" wrapText="1"/>
      <protection locked="0"/>
    </xf>
    <xf numFmtId="0" fontId="30" fillId="5" borderId="13" xfId="0" applyFont="1" applyFill="1" applyBorder="1" applyAlignment="1" applyProtection="1">
      <alignment horizontal="center" vertical="center" wrapText="1"/>
      <protection locked="0"/>
    </xf>
    <xf numFmtId="0" fontId="17" fillId="5" borderId="17" xfId="0" applyFont="1" applyFill="1" applyBorder="1" applyAlignment="1" applyProtection="1">
      <alignment horizontal="center" vertical="center" wrapText="1"/>
      <protection locked="0"/>
    </xf>
    <xf numFmtId="0" fontId="17" fillId="5" borderId="14" xfId="0" applyFont="1" applyFill="1" applyBorder="1" applyAlignment="1" applyProtection="1">
      <alignment horizontal="center" vertical="center" wrapText="1"/>
      <protection locked="0"/>
    </xf>
    <xf numFmtId="0" fontId="17" fillId="5" borderId="59" xfId="0" applyFont="1" applyFill="1" applyBorder="1" applyAlignment="1" applyProtection="1">
      <alignment horizontal="center" vertical="center" wrapText="1"/>
      <protection locked="0"/>
    </xf>
    <xf numFmtId="0" fontId="17" fillId="4" borderId="59" xfId="0" applyFont="1" applyFill="1" applyBorder="1" applyAlignment="1" applyProtection="1">
      <alignment horizontal="center" vertical="center" wrapText="1"/>
      <protection locked="0"/>
    </xf>
    <xf numFmtId="14" fontId="11" fillId="0" borderId="62" xfId="4" applyNumberFormat="1" applyFont="1" applyBorder="1" applyAlignment="1" applyProtection="1">
      <alignment horizontal="left" vertical="center"/>
      <protection locked="0"/>
    </xf>
    <xf numFmtId="0" fontId="18" fillId="9" borderId="59" xfId="0" applyFont="1" applyFill="1" applyBorder="1" applyAlignment="1">
      <alignment horizontal="center" vertical="center"/>
    </xf>
    <xf numFmtId="177" fontId="17" fillId="3" borderId="62" xfId="0" applyNumberFormat="1" applyFont="1" applyFill="1" applyBorder="1" applyAlignment="1" applyProtection="1">
      <alignment horizontal="center" vertical="center" wrapText="1"/>
      <protection locked="0"/>
    </xf>
    <xf numFmtId="177" fontId="17" fillId="3" borderId="9" xfId="0" applyNumberFormat="1" applyFont="1" applyFill="1" applyBorder="1" applyAlignment="1" applyProtection="1">
      <alignment horizontal="center" vertical="center" wrapText="1"/>
      <protection locked="0"/>
    </xf>
    <xf numFmtId="0" fontId="17" fillId="3" borderId="2" xfId="0" applyFont="1" applyFill="1" applyBorder="1" applyAlignment="1" applyProtection="1">
      <alignment horizontal="center" vertical="center" wrapText="1"/>
      <protection locked="0"/>
    </xf>
    <xf numFmtId="0" fontId="17" fillId="3" borderId="13" xfId="0" applyFont="1" applyFill="1" applyBorder="1" applyAlignment="1" applyProtection="1">
      <alignment horizontal="center" vertical="center" wrapText="1"/>
      <protection locked="0"/>
    </xf>
  </cellXfs>
  <cellStyles count="2780">
    <cellStyle name="_x000c_ーセン_x000c_" xfId="15" xr:uid="{00000000-0005-0000-0000-000000000000}"/>
    <cellStyle name="??_Check" xfId="16" xr:uid="{00000000-0005-0000-0000-000001000000}"/>
    <cellStyle name="–¢’è‹`" xfId="2750" xr:uid="{00000000-0005-0000-0000-000002000000}"/>
    <cellStyle name="•W€_ˆÀ‘S‰q¶Œv‰æ (2)" xfId="2751" xr:uid="{00000000-0005-0000-0000-000003000000}"/>
    <cellStyle name="W_æ\" xfId="17" xr:uid="{00000000-0005-0000-0000-000004000000}"/>
    <cellStyle name="0%" xfId="18" xr:uid="{00000000-0005-0000-0000-000005000000}"/>
    <cellStyle name="0,0_x000d__x000a_NA_x000d__x000a_" xfId="19" xr:uid="{00000000-0005-0000-0000-000006000000}"/>
    <cellStyle name="0.0%" xfId="20" xr:uid="{00000000-0005-0000-0000-000007000000}"/>
    <cellStyle name="0.00%" xfId="21" xr:uid="{00000000-0005-0000-0000-000008000000}"/>
    <cellStyle name="1月" xfId="22" xr:uid="{00000000-0005-0000-0000-000009000000}"/>
    <cellStyle name="20% - 强调文字颜色 1" xfId="2698" xr:uid="{00000000-0005-0000-0000-00000A000000}"/>
    <cellStyle name="20% - 强调文字颜色 2" xfId="2699" xr:uid="{00000000-0005-0000-0000-00000B000000}"/>
    <cellStyle name="20% - 强调文字颜色 3" xfId="2700" xr:uid="{00000000-0005-0000-0000-00000C000000}"/>
    <cellStyle name="20% - 强调文字颜色 4" xfId="2701" xr:uid="{00000000-0005-0000-0000-00000D000000}"/>
    <cellStyle name="20% - 强调文字颜色 5" xfId="2702" xr:uid="{00000000-0005-0000-0000-00000E000000}"/>
    <cellStyle name="20% - 强调文字颜色 6" xfId="2703" xr:uid="{00000000-0005-0000-0000-00000F000000}"/>
    <cellStyle name="40% - 强调文字颜色 1" xfId="2704" xr:uid="{00000000-0005-0000-0000-000010000000}"/>
    <cellStyle name="40% - 强调文字颜色 2" xfId="2705" xr:uid="{00000000-0005-0000-0000-000011000000}"/>
    <cellStyle name="40% - 强调文字颜色 3" xfId="2706" xr:uid="{00000000-0005-0000-0000-000012000000}"/>
    <cellStyle name="40% - 强调文字颜色 4" xfId="2707" xr:uid="{00000000-0005-0000-0000-000013000000}"/>
    <cellStyle name="40% - 强调文字颜色 5" xfId="2708" xr:uid="{00000000-0005-0000-0000-000014000000}"/>
    <cellStyle name="40% - 强调文字颜色 6" xfId="2709" xr:uid="{00000000-0005-0000-0000-000015000000}"/>
    <cellStyle name="60% - 强调文字颜色 1" xfId="2710" xr:uid="{00000000-0005-0000-0000-000016000000}"/>
    <cellStyle name="60% - 强调文字颜色 2" xfId="2711" xr:uid="{00000000-0005-0000-0000-000017000000}"/>
    <cellStyle name="60% - 强调文字颜色 3" xfId="2712" xr:uid="{00000000-0005-0000-0000-000018000000}"/>
    <cellStyle name="60% - 强调文字颜色 4" xfId="2713" xr:uid="{00000000-0005-0000-0000-000019000000}"/>
    <cellStyle name="60% - 强调文字颜色 5" xfId="2714" xr:uid="{00000000-0005-0000-0000-00001A000000}"/>
    <cellStyle name="60% - 强调文字颜色 6" xfId="2715" xr:uid="{00000000-0005-0000-0000-00001B000000}"/>
    <cellStyle name="args.style" xfId="23" xr:uid="{00000000-0005-0000-0000-00001C000000}"/>
    <cellStyle name="ＢＢＢ" xfId="24" xr:uid="{00000000-0005-0000-0000-00001D000000}"/>
    <cellStyle name="Body" xfId="25" xr:uid="{00000000-0005-0000-0000-00001E000000}"/>
    <cellStyle name="Calc Currency (0)" xfId="26" xr:uid="{00000000-0005-0000-0000-00001F000000}"/>
    <cellStyle name="category" xfId="27" xr:uid="{00000000-0005-0000-0000-000020000000}"/>
    <cellStyle name="Col Heads" xfId="28" xr:uid="{00000000-0005-0000-0000-000021000000}"/>
    <cellStyle name="Comma [0]" xfId="29" xr:uid="{00000000-0005-0000-0000-000022000000}"/>
    <cellStyle name="Comma,0" xfId="30" xr:uid="{00000000-0005-0000-0000-000023000000}"/>
    <cellStyle name="Comma,1" xfId="31" xr:uid="{00000000-0005-0000-0000-000024000000}"/>
    <cellStyle name="Comma,2" xfId="32" xr:uid="{00000000-0005-0000-0000-000025000000}"/>
    <cellStyle name="Comma_!!!GO" xfId="33" xr:uid="{00000000-0005-0000-0000-000026000000}"/>
    <cellStyle name="Comma0" xfId="34" xr:uid="{00000000-0005-0000-0000-000027000000}"/>
    <cellStyle name="Currency [0]" xfId="35" xr:uid="{00000000-0005-0000-0000-000028000000}"/>
    <cellStyle name="Currency,0" xfId="36" xr:uid="{00000000-0005-0000-0000-000029000000}"/>
    <cellStyle name="Currency,2" xfId="37" xr:uid="{00000000-0005-0000-0000-00002A000000}"/>
    <cellStyle name="Currency_!!!GO" xfId="38" xr:uid="{00000000-0005-0000-0000-00002B000000}"/>
    <cellStyle name="Currency0" xfId="39" xr:uid="{00000000-0005-0000-0000-00002C000000}"/>
    <cellStyle name="Date" xfId="40" xr:uid="{00000000-0005-0000-0000-00002D000000}"/>
    <cellStyle name="Dezimal_!!!GO" xfId="41" xr:uid="{00000000-0005-0000-0000-00002E000000}"/>
    <cellStyle name="entry" xfId="42" xr:uid="{00000000-0005-0000-0000-00002F000000}"/>
    <cellStyle name="Fixed" xfId="43" xr:uid="{00000000-0005-0000-0000-000030000000}"/>
    <cellStyle name="Followed Hyperlink" xfId="44" xr:uid="{00000000-0005-0000-0000-000031000000}"/>
    <cellStyle name="Grey" xfId="45" xr:uid="{00000000-0005-0000-0000-000032000000}"/>
    <cellStyle name="Head 1" xfId="46" xr:uid="{00000000-0005-0000-0000-000033000000}"/>
    <cellStyle name="Head 2" xfId="47" xr:uid="{00000000-0005-0000-0000-000034000000}"/>
    <cellStyle name="HEADER" xfId="48" xr:uid="{00000000-0005-0000-0000-000035000000}"/>
    <cellStyle name="Header1" xfId="49" xr:uid="{00000000-0005-0000-0000-000036000000}"/>
    <cellStyle name="Header2" xfId="50" xr:uid="{00000000-0005-0000-0000-000037000000}"/>
    <cellStyle name="Header2 2" xfId="2764" xr:uid="{00000000-0005-0000-0000-000038000000}"/>
    <cellStyle name="Heading 1" xfId="51" xr:uid="{00000000-0005-0000-0000-000039000000}"/>
    <cellStyle name="Heading 2" xfId="52" xr:uid="{00000000-0005-0000-0000-00003A000000}"/>
    <cellStyle name="Hyperlink" xfId="53" xr:uid="{00000000-0005-0000-0000-00003B000000}"/>
    <cellStyle name="IBM(401K)" xfId="54" xr:uid="{00000000-0005-0000-0000-00003C000000}"/>
    <cellStyle name="Input [yellow]" xfId="55" xr:uid="{00000000-0005-0000-0000-00003D000000}"/>
    <cellStyle name="Input [yellow] 2" xfId="2765" xr:uid="{00000000-0005-0000-0000-00003E000000}"/>
    <cellStyle name="J401K" xfId="56" xr:uid="{00000000-0005-0000-0000-00003F000000}"/>
    <cellStyle name="jitta" xfId="57" xr:uid="{00000000-0005-0000-0000-000040000000}"/>
    <cellStyle name="Milliers [0]_!!!GO" xfId="58" xr:uid="{00000000-0005-0000-0000-000041000000}"/>
    <cellStyle name="Milliers_!!!GO" xfId="59" xr:uid="{00000000-0005-0000-0000-000042000000}"/>
    <cellStyle name="miya" xfId="60" xr:uid="{00000000-0005-0000-0000-000043000000}"/>
    <cellStyle name="Model" xfId="61" xr:uid="{00000000-0005-0000-0000-000044000000}"/>
    <cellStyle name="Mon騁aire [0]_!!!GO" xfId="62" xr:uid="{00000000-0005-0000-0000-000045000000}"/>
    <cellStyle name="Mon騁aire_!!!GO" xfId="63" xr:uid="{00000000-0005-0000-0000-000046000000}"/>
    <cellStyle name="Normal - Style1" xfId="64" xr:uid="{00000000-0005-0000-0000-000047000000}"/>
    <cellStyle name="Normal 2" xfId="2716" xr:uid="{00000000-0005-0000-0000-000048000000}"/>
    <cellStyle name="Normal 3" xfId="2717" xr:uid="{00000000-0005-0000-0000-000049000000}"/>
    <cellStyle name="Normal 4" xfId="2718" xr:uid="{00000000-0005-0000-0000-00004A000000}"/>
    <cellStyle name="Normal_!!!GO" xfId="65" xr:uid="{00000000-0005-0000-0000-00004B000000}"/>
    <cellStyle name="Œ…‹æØ‚è [0.00]_laroux" xfId="2752" xr:uid="{00000000-0005-0000-0000-00004C000000}"/>
    <cellStyle name="Œ…‹æØ‚è_laroux" xfId="2753" xr:uid="{00000000-0005-0000-0000-00004D000000}"/>
    <cellStyle name="per.style" xfId="66" xr:uid="{00000000-0005-0000-0000-00004E000000}"/>
    <cellStyle name="Percent [2]" xfId="67" xr:uid="{00000000-0005-0000-0000-00004F000000}"/>
    <cellStyle name="Percent_!!!GO" xfId="68" xr:uid="{00000000-0005-0000-0000-000050000000}"/>
    <cellStyle name="price" xfId="69" xr:uid="{00000000-0005-0000-0000-000051000000}"/>
    <cellStyle name="PSChar" xfId="70" xr:uid="{00000000-0005-0000-0000-000052000000}"/>
    <cellStyle name="PSHeading" xfId="71" xr:uid="{00000000-0005-0000-0000-000053000000}"/>
    <cellStyle name="revised" xfId="72" xr:uid="{00000000-0005-0000-0000-000054000000}"/>
    <cellStyle name="SAPBEXaggData" xfId="73" xr:uid="{00000000-0005-0000-0000-000055000000}"/>
    <cellStyle name="SAPBEXaggDataEmph" xfId="74" xr:uid="{00000000-0005-0000-0000-000056000000}"/>
    <cellStyle name="SAPBEXaggItem" xfId="75" xr:uid="{00000000-0005-0000-0000-000057000000}"/>
    <cellStyle name="SAPBEXchaText" xfId="76" xr:uid="{00000000-0005-0000-0000-000058000000}"/>
    <cellStyle name="SAPBEXexcBad" xfId="77" xr:uid="{00000000-0005-0000-0000-000059000000}"/>
    <cellStyle name="SAPBEXexcCritical" xfId="78" xr:uid="{00000000-0005-0000-0000-00005A000000}"/>
    <cellStyle name="SAPBEXexcGood" xfId="79" xr:uid="{00000000-0005-0000-0000-00005B000000}"/>
    <cellStyle name="SAPBEXexcVeryBad" xfId="80" xr:uid="{00000000-0005-0000-0000-00005C000000}"/>
    <cellStyle name="SAPBEXfilterDrill" xfId="81" xr:uid="{00000000-0005-0000-0000-00005D000000}"/>
    <cellStyle name="SAPBEXfilterItem" xfId="82" xr:uid="{00000000-0005-0000-0000-00005E000000}"/>
    <cellStyle name="SAPBEXfilterText" xfId="83" xr:uid="{00000000-0005-0000-0000-00005F000000}"/>
    <cellStyle name="SAPBEXformats" xfId="84" xr:uid="{00000000-0005-0000-0000-000060000000}"/>
    <cellStyle name="SAPBEXheaderData" xfId="85" xr:uid="{00000000-0005-0000-0000-000061000000}"/>
    <cellStyle name="SAPBEXheaderItem" xfId="86" xr:uid="{00000000-0005-0000-0000-000062000000}"/>
    <cellStyle name="SAPBEXheaderText" xfId="87" xr:uid="{00000000-0005-0000-0000-000063000000}"/>
    <cellStyle name="SAPBEXresData" xfId="88" xr:uid="{00000000-0005-0000-0000-000064000000}"/>
    <cellStyle name="SAPBEXresDataEmph" xfId="89" xr:uid="{00000000-0005-0000-0000-000065000000}"/>
    <cellStyle name="SAPBEXresItem" xfId="90" xr:uid="{00000000-0005-0000-0000-000066000000}"/>
    <cellStyle name="SAPBEXstdData" xfId="91" xr:uid="{00000000-0005-0000-0000-000067000000}"/>
    <cellStyle name="SAPBEXstdDataEmph" xfId="92" xr:uid="{00000000-0005-0000-0000-000068000000}"/>
    <cellStyle name="SAPBEXstdItem" xfId="93" xr:uid="{00000000-0005-0000-0000-000069000000}"/>
    <cellStyle name="SAPBEXsubData" xfId="94" xr:uid="{00000000-0005-0000-0000-00006A000000}"/>
    <cellStyle name="SAPBEXsubDataEmph" xfId="95" xr:uid="{00000000-0005-0000-0000-00006B000000}"/>
    <cellStyle name="SAPBEXsubItem" xfId="96" xr:uid="{00000000-0005-0000-0000-00006C000000}"/>
    <cellStyle name="SAPBEXtitle" xfId="97" xr:uid="{00000000-0005-0000-0000-00006D000000}"/>
    <cellStyle name="SAPBEXundefined" xfId="98" xr:uid="{00000000-0005-0000-0000-00006E000000}"/>
    <cellStyle name="section" xfId="99" xr:uid="{00000000-0005-0000-0000-00006F000000}"/>
    <cellStyle name="Standard_!!!GO" xfId="100" xr:uid="{00000000-0005-0000-0000-000070000000}"/>
    <cellStyle name="subhead" xfId="101" xr:uid="{00000000-0005-0000-0000-000071000000}"/>
    <cellStyle name="title" xfId="102" xr:uid="{00000000-0005-0000-0000-000072000000}"/>
    <cellStyle name="TofC Level 1" xfId="103" xr:uid="{00000000-0005-0000-0000-000073000000}"/>
    <cellStyle name="TofC Level 2" xfId="104" xr:uid="{00000000-0005-0000-0000-000074000000}"/>
    <cellStyle name="Total" xfId="105" xr:uid="{00000000-0005-0000-0000-000075000000}"/>
    <cellStyle name="User_Defined_A" xfId="106" xr:uid="{00000000-0005-0000-0000-000076000000}"/>
    <cellStyle name="W臧rung_!!!GO" xfId="107" xr:uid="{00000000-0005-0000-0000-000077000000}"/>
    <cellStyle name="yymm" xfId="108" xr:uid="{00000000-0005-0000-0000-000078000000}"/>
    <cellStyle name="ｺﾒﾝﾄ" xfId="109" xr:uid="{00000000-0005-0000-0000-000079000000}"/>
    <cellStyle name="ｺﾒﾝﾄ 2" xfId="2766" xr:uid="{00000000-0005-0000-0000-00007A000000}"/>
    <cellStyle name="ｺﾒﾝﾄ見出" xfId="110" xr:uid="{00000000-0005-0000-0000-00007B000000}"/>
    <cellStyle name="ｼｽﾃﾑ設定" xfId="111" xr:uid="{00000000-0005-0000-0000-00007C000000}"/>
    <cellStyle name="ｼｽﾃﾑ設定 2" xfId="2767" xr:uid="{00000000-0005-0000-0000-00007D000000}"/>
    <cellStyle name="スタイル 1" xfId="112" xr:uid="{00000000-0005-0000-0000-00007E000000}"/>
    <cellStyle name="スタイル 2" xfId="113" xr:uid="{00000000-0005-0000-0000-00007F000000}"/>
    <cellStyle name="スタイル 3" xfId="114" xr:uid="{00000000-0005-0000-0000-000080000000}"/>
    <cellStyle name="スタイル 4" xfId="115" xr:uid="{00000000-0005-0000-0000-000081000000}"/>
    <cellStyle name="スタイル 5" xfId="116" xr:uid="{00000000-0005-0000-0000-000082000000}"/>
    <cellStyle name="スタイル 6" xfId="117" xr:uid="{00000000-0005-0000-0000-000083000000}"/>
    <cellStyle name="スタイル 7" xfId="118" xr:uid="{00000000-0005-0000-0000-000084000000}"/>
    <cellStyle name="スタイル 8" xfId="119" xr:uid="{00000000-0005-0000-0000-000085000000}"/>
    <cellStyle name="トピックス" xfId="120" xr:uid="{00000000-0005-0000-0000-000086000000}"/>
    <cellStyle name="トピックス 2" xfId="2768" xr:uid="{00000000-0005-0000-0000-000087000000}"/>
    <cellStyle name="なかぞろえ" xfId="121" xr:uid="{00000000-0005-0000-0000-000088000000}"/>
    <cellStyle name="パーセント" xfId="3" builtinId="5"/>
    <cellStyle name="パーセント 2" xfId="2754" xr:uid="{00000000-0005-0000-0000-00008A000000}"/>
    <cellStyle name="パーセント 2 2" xfId="122" xr:uid="{00000000-0005-0000-0000-00008B000000}"/>
    <cellStyle name="パーセント 3" xfId="2755" xr:uid="{00000000-0005-0000-0000-00008C000000}"/>
    <cellStyle name="パーセント 4" xfId="2756" xr:uid="{00000000-0005-0000-0000-00008D000000}"/>
    <cellStyle name="ボタン0" xfId="123" xr:uid="{00000000-0005-0000-0000-00008E000000}"/>
    <cellStyle name="ボタン1" xfId="124" xr:uid="{00000000-0005-0000-0000-00008F000000}"/>
    <cellStyle name="ボタン2" xfId="125" xr:uid="{00000000-0005-0000-0000-000090000000}"/>
    <cellStyle name="ボタン3" xfId="126" xr:uid="{00000000-0005-0000-0000-000091000000}"/>
    <cellStyle name="ボタン4" xfId="127" xr:uid="{00000000-0005-0000-0000-000092000000}"/>
    <cellStyle name="ボタン5" xfId="128" xr:uid="{00000000-0005-0000-0000-000093000000}"/>
    <cellStyle name="マクロ" xfId="129" xr:uid="{00000000-0005-0000-0000-000094000000}"/>
    <cellStyle name="マクロ 2" xfId="2769" xr:uid="{00000000-0005-0000-0000-000095000000}"/>
    <cellStyle name="マクロ見出し" xfId="130" xr:uid="{00000000-0005-0000-0000-000096000000}"/>
    <cellStyle name="メッセージ" xfId="131" xr:uid="{00000000-0005-0000-0000-000097000000}"/>
    <cellStyle name="メッセージ 2" xfId="2770" xr:uid="{00000000-0005-0000-0000-000098000000}"/>
    <cellStyle name="ﾕｰｻﾞ設定" xfId="132" xr:uid="{00000000-0005-0000-0000-000099000000}"/>
    <cellStyle name="ﾕｰｻﾞ設定 2" xfId="2771" xr:uid="{00000000-0005-0000-0000-00009A000000}"/>
    <cellStyle name="横倍角(602R)" xfId="133" xr:uid="{00000000-0005-0000-0000-00009B000000}"/>
    <cellStyle name="下付き文字" xfId="134" xr:uid="{00000000-0005-0000-0000-00009C000000}"/>
    <cellStyle name="下付き文字 2" xfId="2772" xr:uid="{00000000-0005-0000-0000-00009D000000}"/>
    <cellStyle name="解释性文本" xfId="135" xr:uid="{00000000-0005-0000-0000-00009E000000}"/>
    <cellStyle name="警告文本" xfId="2719" xr:uid="{00000000-0005-0000-0000-00009F000000}"/>
    <cellStyle name="桁蟻唇Ｆ [0.00]" xfId="136" xr:uid="{00000000-0005-0000-0000-0000A0000000}"/>
    <cellStyle name="桁蟻唇Ｆ_3346" xfId="137" xr:uid="{00000000-0005-0000-0000-0000A1000000}"/>
    <cellStyle name="桁区切り" xfId="5" builtinId="6"/>
    <cellStyle name="桁区切り [0.0]" xfId="138" xr:uid="{00000000-0005-0000-0000-0000A3000000}"/>
    <cellStyle name="桁区切り 2" xfId="11" xr:uid="{00000000-0005-0000-0000-0000A4000000}"/>
    <cellStyle name="桁区切り 2 2" xfId="12" xr:uid="{00000000-0005-0000-0000-0000A5000000}"/>
    <cellStyle name="桁区切り 2 2 2" xfId="2720" xr:uid="{00000000-0005-0000-0000-0000A6000000}"/>
    <cellStyle name="桁区切り 2 3" xfId="139" xr:uid="{00000000-0005-0000-0000-0000A7000000}"/>
    <cellStyle name="桁区切り 3" xfId="140" xr:uid="{00000000-0005-0000-0000-0000A8000000}"/>
    <cellStyle name="桁区切り 4" xfId="141" xr:uid="{00000000-0005-0000-0000-0000A9000000}"/>
    <cellStyle name="桁区切り 4 2" xfId="142" xr:uid="{00000000-0005-0000-0000-0000AA000000}"/>
    <cellStyle name="桁区切り 5" xfId="2757" xr:uid="{00000000-0005-0000-0000-0000AB000000}"/>
    <cellStyle name="見出" xfId="143" xr:uid="{00000000-0005-0000-0000-0000AC000000}"/>
    <cellStyle name="見出し0" xfId="144" xr:uid="{00000000-0005-0000-0000-0000AD000000}"/>
    <cellStyle name="見出し1" xfId="145" xr:uid="{00000000-0005-0000-0000-0000AE000000}"/>
    <cellStyle name="見出し2" xfId="146" xr:uid="{00000000-0005-0000-0000-0000AF000000}"/>
    <cellStyle name="見出し3" xfId="147" xr:uid="{00000000-0005-0000-0000-0000B0000000}"/>
    <cellStyle name="見出し4" xfId="148" xr:uid="{00000000-0005-0000-0000-0000B1000000}"/>
    <cellStyle name="見出し5" xfId="149" xr:uid="{00000000-0005-0000-0000-0000B2000000}"/>
    <cellStyle name="見積桁区切り" xfId="150" xr:uid="{00000000-0005-0000-0000-0000B3000000}"/>
    <cellStyle name="見積-桁区切り" xfId="151" xr:uid="{00000000-0005-0000-0000-0000B4000000}"/>
    <cellStyle name="見積桁区切り_05.【別紙５】規模増減管理表" xfId="152" xr:uid="{00000000-0005-0000-0000-0000B5000000}"/>
    <cellStyle name="見積-桁区切り_05.【別紙５】規模増減管理表" xfId="153" xr:uid="{00000000-0005-0000-0000-0000B6000000}"/>
    <cellStyle name="見積桁区切り_FIS機能一覧（鴻上改変）" xfId="154" xr:uid="{00000000-0005-0000-0000-0000B7000000}"/>
    <cellStyle name="見積-桁区切り_FIS機能一覧（鴻上改変）" xfId="155" xr:uid="{00000000-0005-0000-0000-0000B8000000}"/>
    <cellStyle name="見積桁区切り_FIS機能一覧（鴻上改変）_＜3産2＞見積条件040127" xfId="156" xr:uid="{00000000-0005-0000-0000-0000B9000000}"/>
    <cellStyle name="見積-桁区切り_FIS機能一覧（鴻上改変）_＜3産2＞見積条件040127" xfId="157" xr:uid="{00000000-0005-0000-0000-0000BA000000}"/>
    <cellStyle name="見積桁区切り_FIS機能一覧（鴻上改変）_JITEC見積_03.10.1" xfId="158" xr:uid="{00000000-0005-0000-0000-0000BB000000}"/>
    <cellStyle name="見積-桁区切り_FIS機能一覧（鴻上改変）_JITEC見積_03.10.1" xfId="159" xr:uid="{00000000-0005-0000-0000-0000BC000000}"/>
    <cellStyle name="見積桁区切り_FIS機能一覧（鴻上改変）_JITEC見積_03.10.1_工数内訳" xfId="160" xr:uid="{00000000-0005-0000-0000-0000BD000000}"/>
    <cellStyle name="見積-桁区切り_FIS機能一覧（鴻上改変）_JITEC見積_03.10.1_工数内訳" xfId="161" xr:uid="{00000000-0005-0000-0000-0000BE000000}"/>
    <cellStyle name="見積桁区切り_FIS機能一覧（鴻上改変）_JITEC見積_03.9.28" xfId="162" xr:uid="{00000000-0005-0000-0000-0000BF000000}"/>
    <cellStyle name="見積-桁区切り_FIS機能一覧（鴻上改変）_JITEC見積_03.9.28" xfId="163" xr:uid="{00000000-0005-0000-0000-0000C0000000}"/>
    <cellStyle name="見積桁区切り_FIS機能一覧（鴻上改変）_ソフトSS概算見積_030620" xfId="164" xr:uid="{00000000-0005-0000-0000-0000C1000000}"/>
    <cellStyle name="見積-桁区切り_FIS機能一覧（鴻上改変）_ソフトSS概算見積_030620" xfId="165" xr:uid="{00000000-0005-0000-0000-0000C2000000}"/>
    <cellStyle name="見積桁区切り_FIS機能一覧（鴻上改変）_ソフトSS概算見積_030620_＜3産2＞見積条件040127" xfId="166" xr:uid="{00000000-0005-0000-0000-0000C3000000}"/>
    <cellStyle name="見積-桁区切り_FIS機能一覧（鴻上改変）_ソフトSS概算見積_030620_＜3産2＞見積条件040127" xfId="167" xr:uid="{00000000-0005-0000-0000-0000C4000000}"/>
    <cellStyle name="見積桁区切り_FIS機能一覧（鴻上改変）_ソフトSS概算見積_030620_1" xfId="168" xr:uid="{00000000-0005-0000-0000-0000C5000000}"/>
    <cellStyle name="見積-桁区切り_FIS機能一覧（鴻上改変）_ソフトSS概算見積_030620_1" xfId="169" xr:uid="{00000000-0005-0000-0000-0000C6000000}"/>
    <cellStyle name="見積桁区切り_FIS機能一覧（鴻上改変）_ソフトSS概算見積_030620_JITEC見積_03.10.1" xfId="170" xr:uid="{00000000-0005-0000-0000-0000C7000000}"/>
    <cellStyle name="見積-桁区切り_FIS機能一覧（鴻上改変）_ソフトSS概算見積_030620_JITEC見積_03.10.1" xfId="171" xr:uid="{00000000-0005-0000-0000-0000C8000000}"/>
    <cellStyle name="見積桁区切り_FIS機能一覧（鴻上改変）_ソフトSS概算見積_030620_JITEC見積_03.10.1_工数内訳" xfId="172" xr:uid="{00000000-0005-0000-0000-0000C9000000}"/>
    <cellStyle name="見積-桁区切り_FIS機能一覧（鴻上改変）_ソフトSS概算見積_030620_JITEC見積_03.10.1_工数内訳" xfId="173" xr:uid="{00000000-0005-0000-0000-0000CA000000}"/>
    <cellStyle name="見積桁区切り_FIS機能一覧（鴻上改変）_ソフトSS概算見積_030620_JITEC見積_03.9.28" xfId="174" xr:uid="{00000000-0005-0000-0000-0000CB000000}"/>
    <cellStyle name="見積-桁区切り_FIS機能一覧（鴻上改変）_ソフトSS概算見積_030620_JITEC見積_03.9.28" xfId="175" xr:uid="{00000000-0005-0000-0000-0000CC000000}"/>
    <cellStyle name="見積桁区切り_FIS機能一覧（鴻上改変）_ソフトSS概算見積_030620_ソフトSS概算見" xfId="176" xr:uid="{00000000-0005-0000-0000-0000CD000000}"/>
    <cellStyle name="見積-桁区切り_FIS機能一覧（鴻上改変）_ソフトSS概算見積_030620_ソフトSS概算見" xfId="177" xr:uid="{00000000-0005-0000-0000-0000CE000000}"/>
    <cellStyle name="見積桁区切り_FIS機能一覧（鴻上改変）_ソフトSS概算見積_030620_ソフトSS概算見_＜3産2＞見積条件040127" xfId="178" xr:uid="{00000000-0005-0000-0000-0000CF000000}"/>
    <cellStyle name="見積-桁区切り_FIS機能一覧（鴻上改変）_ソフトSS概算見積_030620_ソフトSS概算見_＜3産2＞見積条件040127" xfId="179" xr:uid="{00000000-0005-0000-0000-0000D0000000}"/>
    <cellStyle name="見積桁区切り_FIS機能一覧（鴻上改変）_ソフトSS概算見積_030620_ソフトSS概算見_JITEC見積_03.10.1" xfId="180" xr:uid="{00000000-0005-0000-0000-0000D1000000}"/>
    <cellStyle name="見積-桁区切り_FIS機能一覧（鴻上改変）_ソフトSS概算見積_030620_ソフトSS概算見_JITEC見積_03.10.1" xfId="181" xr:uid="{00000000-0005-0000-0000-0000D2000000}"/>
    <cellStyle name="見積桁区切り_FIS機能一覧（鴻上改変）_ソフトSS概算見積_030620_ソフトSS概算見_JITEC見積_03.10.1_工数内訳" xfId="182" xr:uid="{00000000-0005-0000-0000-0000D3000000}"/>
    <cellStyle name="見積-桁区切り_FIS機能一覧（鴻上改変）_ソフトSS概算見積_030620_ソフトSS概算見_JITEC見積_03.10.1_工数内訳" xfId="183" xr:uid="{00000000-0005-0000-0000-0000D4000000}"/>
    <cellStyle name="見積桁区切り_FIS機能一覧（鴻上改変）_ソフトSS概算見積_030620_ソフトSS概算見_JITEC見積_03.9.28" xfId="184" xr:uid="{00000000-0005-0000-0000-0000D5000000}"/>
    <cellStyle name="見積-桁区切り_FIS機能一覧（鴻上改変）_ソフトSS概算見積_030620_ソフトSS概算見_JITEC見積_03.9.28" xfId="185" xr:uid="{00000000-0005-0000-0000-0000D6000000}"/>
    <cellStyle name="見積桁区切り_FIS機能一覧（鴻上改変）_ソフトSS概算見積_030620_ソフトSS概算見_開発見積" xfId="186" xr:uid="{00000000-0005-0000-0000-0000D7000000}"/>
    <cellStyle name="見積-桁区切り_FIS機能一覧（鴻上改変）_ソフトSS概算見積_030620_ソフトSS概算見_開発見積" xfId="187" xr:uid="{00000000-0005-0000-0000-0000D8000000}"/>
    <cellStyle name="見積桁区切り_FIS機能一覧（鴻上改変）_ソフトSS概算見積_030620_ソフトSS概算見積_030620" xfId="188" xr:uid="{00000000-0005-0000-0000-0000D9000000}"/>
    <cellStyle name="見積-桁区切り_FIS機能一覧（鴻上改変）_ソフトSS概算見積_030620_ソフトSS概算見積_030620" xfId="189" xr:uid="{00000000-0005-0000-0000-0000DA000000}"/>
    <cellStyle name="見積桁区切り_FIS機能一覧（鴻上改変）_ソフトSS概算見積_030620_ソフトSS概算見積_030627" xfId="190" xr:uid="{00000000-0005-0000-0000-0000DB000000}"/>
    <cellStyle name="見積-桁区切り_FIS機能一覧（鴻上改変）_ソフトSS概算見積_030620_ソフトSS概算見積_030627" xfId="191" xr:uid="{00000000-0005-0000-0000-0000DC000000}"/>
    <cellStyle name="見積桁区切り_FIS機能一覧（鴻上改変）_ソフトSS概算見積_030620_ソフトSS概算見積_030627_＜3産2＞見積条件040127" xfId="192" xr:uid="{00000000-0005-0000-0000-0000DD000000}"/>
    <cellStyle name="見積-桁区切り_FIS機能一覧（鴻上改変）_ソフトSS概算見積_030620_ソフトSS概算見積_030627_＜3産2＞見積条件040127" xfId="193" xr:uid="{00000000-0005-0000-0000-0000DE000000}"/>
    <cellStyle name="見積桁区切り_FIS機能一覧（鴻上改変）_ソフトSS概算見積_030620_ソフトSS概算見積_030627_1" xfId="194" xr:uid="{00000000-0005-0000-0000-0000DF000000}"/>
    <cellStyle name="見積-桁区切り_FIS機能一覧（鴻上改変）_ソフトSS概算見積_030620_ソフトSS概算見積_030627_1" xfId="195" xr:uid="{00000000-0005-0000-0000-0000E0000000}"/>
    <cellStyle name="見積桁区切り_FIS機能一覧（鴻上改変）_ソフトSS概算見積_030620_ソフトSS概算見積_030627_JITEC見積_03.10.1" xfId="196" xr:uid="{00000000-0005-0000-0000-0000E1000000}"/>
    <cellStyle name="見積-桁区切り_FIS機能一覧（鴻上改変）_ソフトSS概算見積_030620_ソフトSS概算見積_030627_JITEC見積_03.10.1" xfId="197" xr:uid="{00000000-0005-0000-0000-0000E2000000}"/>
    <cellStyle name="見積桁区切り_FIS機能一覧（鴻上改変）_ソフトSS概算見積_030620_ソフトSS概算見積_030627_JITEC見積_03.10.1_工数内訳" xfId="198" xr:uid="{00000000-0005-0000-0000-0000E3000000}"/>
    <cellStyle name="見積-桁区切り_FIS機能一覧（鴻上改変）_ソフトSS概算見積_030620_ソフトSS概算見積_030627_JITEC見積_03.10.1_工数内訳" xfId="199" xr:uid="{00000000-0005-0000-0000-0000E4000000}"/>
    <cellStyle name="見積桁区切り_FIS機能一覧（鴻上改変）_ソフトSS概算見積_030620_ソフトSS概算見積_030627_JITEC見積_03.9.28" xfId="200" xr:uid="{00000000-0005-0000-0000-0000E5000000}"/>
    <cellStyle name="見積-桁区切り_FIS機能一覧（鴻上改変）_ソフトSS概算見積_030620_ソフトSS概算見積_030627_JITEC見積_03.9.28" xfId="201" xr:uid="{00000000-0005-0000-0000-0000E6000000}"/>
    <cellStyle name="見積桁区切り_FIS機能一覧（鴻上改変）_ソフトSS概算見積_030620_ソフトSS概算見積_030627_ソフトSS概算見積_030627" xfId="202" xr:uid="{00000000-0005-0000-0000-0000E7000000}"/>
    <cellStyle name="見積-桁区切り_FIS機能一覧（鴻上改変）_ソフトSS概算見積_030620_ソフトSS概算見積_030627_ソフトSS概算見積_030627" xfId="203" xr:uid="{00000000-0005-0000-0000-0000E8000000}"/>
    <cellStyle name="見積桁区切り_FIS機能一覧（鴻上改変）_ソフトSS概算見積_030620_ソフトSS概算見積_030627_開発見積" xfId="204" xr:uid="{00000000-0005-0000-0000-0000E9000000}"/>
    <cellStyle name="見積-桁区切り_FIS機能一覧（鴻上改変）_ソフトSS概算見積_030620_ソフトSS概算見積_030627_開発見積" xfId="205" xr:uid="{00000000-0005-0000-0000-0000EA000000}"/>
    <cellStyle name="見積桁区切り_FIS機能一覧（鴻上改変）_ソフトSS概算見積_030620_開発見積" xfId="206" xr:uid="{00000000-0005-0000-0000-0000EB000000}"/>
    <cellStyle name="見積-桁区切り_FIS機能一覧（鴻上改変）_ソフトSS概算見積_030620_開発見積" xfId="207" xr:uid="{00000000-0005-0000-0000-0000EC000000}"/>
    <cellStyle name="見積桁区切り_FIS機能一覧（鴻上改変）_ソフトSS概算見積_03062１営業修正" xfId="208" xr:uid="{00000000-0005-0000-0000-0000ED000000}"/>
    <cellStyle name="見積-桁区切り_FIS機能一覧（鴻上改変）_ソフトSS概算見積_03062１営業修正" xfId="209" xr:uid="{00000000-0005-0000-0000-0000EE000000}"/>
    <cellStyle name="見積桁区切り_FIS機能一覧（鴻上改変）_ソフトSS概算見積_03062１営業修正_＜3産2＞見積条件040127" xfId="210" xr:uid="{00000000-0005-0000-0000-0000EF000000}"/>
    <cellStyle name="見積-桁区切り_FIS機能一覧（鴻上改変）_ソフトSS概算見積_03062１営業修正_＜3産2＞見積条件040127" xfId="211" xr:uid="{00000000-0005-0000-0000-0000F0000000}"/>
    <cellStyle name="見積桁区切り_FIS機能一覧（鴻上改変）_ソフトSS概算見積_03062１営業修正_JITEC見積_03.10.1" xfId="212" xr:uid="{00000000-0005-0000-0000-0000F1000000}"/>
    <cellStyle name="見積-桁区切り_FIS機能一覧（鴻上改変）_ソフトSS概算見積_03062１営業修正_JITEC見積_03.10.1" xfId="213" xr:uid="{00000000-0005-0000-0000-0000F2000000}"/>
    <cellStyle name="見積桁区切り_FIS機能一覧（鴻上改変）_ソフトSS概算見積_03062１営業修正_JITEC見積_03.10.1_工数内訳" xfId="214" xr:uid="{00000000-0005-0000-0000-0000F3000000}"/>
    <cellStyle name="見積-桁区切り_FIS機能一覧（鴻上改変）_ソフトSS概算見積_03062１営業修正_JITEC見積_03.10.1_工数内訳" xfId="215" xr:uid="{00000000-0005-0000-0000-0000F4000000}"/>
    <cellStyle name="見積桁区切り_FIS機能一覧（鴻上改変）_ソフトSS概算見積_03062１営業修正_JITEC見積_03.9.28" xfId="216" xr:uid="{00000000-0005-0000-0000-0000F5000000}"/>
    <cellStyle name="見積-桁区切り_FIS機能一覧（鴻上改変）_ソフトSS概算見積_03062１営業修正_JITEC見積_03.9.28" xfId="217" xr:uid="{00000000-0005-0000-0000-0000F6000000}"/>
    <cellStyle name="見積桁区切り_FIS機能一覧（鴻上改変）_ソフトSS概算見積_03062１営業修正_ソフトSS概算見" xfId="218" xr:uid="{00000000-0005-0000-0000-0000F7000000}"/>
    <cellStyle name="見積-桁区切り_FIS機能一覧（鴻上改変）_ソフトSS概算見積_03062１営業修正_ソフトSS概算見" xfId="219" xr:uid="{00000000-0005-0000-0000-0000F8000000}"/>
    <cellStyle name="見積桁区切り_FIS機能一覧（鴻上改変）_ソフトSS概算見積_03062１営業修正_ソフトSS概算見_＜3産2＞見積条件040127" xfId="220" xr:uid="{00000000-0005-0000-0000-0000F9000000}"/>
    <cellStyle name="見積-桁区切り_FIS機能一覧（鴻上改変）_ソフトSS概算見積_03062１営業修正_ソフトSS概算見_＜3産2＞見積条件040127" xfId="221" xr:uid="{00000000-0005-0000-0000-0000FA000000}"/>
    <cellStyle name="見積桁区切り_FIS機能一覧（鴻上改変）_ソフトSS概算見積_03062１営業修正_ソフトSS概算見_JITEC見積_03.10.1" xfId="222" xr:uid="{00000000-0005-0000-0000-0000FB000000}"/>
    <cellStyle name="見積-桁区切り_FIS機能一覧（鴻上改変）_ソフトSS概算見積_03062１営業修正_ソフトSS概算見_JITEC見積_03.10.1" xfId="223" xr:uid="{00000000-0005-0000-0000-0000FC000000}"/>
    <cellStyle name="見積桁区切り_FIS機能一覧（鴻上改変）_ソフトSS概算見積_03062１営業修正_ソフトSS概算見_JITEC見積_03.10.1_工数内訳" xfId="224" xr:uid="{00000000-0005-0000-0000-0000FD000000}"/>
    <cellStyle name="見積-桁区切り_FIS機能一覧（鴻上改変）_ソフトSS概算見積_03062１営業修正_ソフトSS概算見_JITEC見積_03.10.1_工数内訳" xfId="225" xr:uid="{00000000-0005-0000-0000-0000FE000000}"/>
    <cellStyle name="見積桁区切り_FIS機能一覧（鴻上改変）_ソフトSS概算見積_03062１営業修正_ソフトSS概算見_JITEC見積_03.9.28" xfId="226" xr:uid="{00000000-0005-0000-0000-0000FF000000}"/>
    <cellStyle name="見積-桁区切り_FIS機能一覧（鴻上改変）_ソフトSS概算見積_03062１営業修正_ソフトSS概算見_JITEC見積_03.9.28" xfId="227" xr:uid="{00000000-0005-0000-0000-000000010000}"/>
    <cellStyle name="見積桁区切り_FIS機能一覧（鴻上改変）_ソフトSS概算見積_03062１営業修正_ソフトSS概算見_開発見積" xfId="228" xr:uid="{00000000-0005-0000-0000-000001010000}"/>
    <cellStyle name="見積-桁区切り_FIS機能一覧（鴻上改変）_ソフトSS概算見積_03062１営業修正_ソフトSS概算見_開発見積" xfId="229" xr:uid="{00000000-0005-0000-0000-000002010000}"/>
    <cellStyle name="見積桁区切り_FIS機能一覧（鴻上改変）_ソフトSS概算見積_03062１営業修正_開発見積" xfId="230" xr:uid="{00000000-0005-0000-0000-000003010000}"/>
    <cellStyle name="見積-桁区切り_FIS機能一覧（鴻上改変）_ソフトSS概算見積_03062１営業修正_開発見積" xfId="231" xr:uid="{00000000-0005-0000-0000-000004010000}"/>
    <cellStyle name="見積桁区切り_FIS機能一覧（鴻上改変）_ソフトSS概算見積_030627" xfId="232" xr:uid="{00000000-0005-0000-0000-000005010000}"/>
    <cellStyle name="見積-桁区切り_FIS機能一覧（鴻上改変）_ソフトSS概算見積_030627" xfId="233" xr:uid="{00000000-0005-0000-0000-000006010000}"/>
    <cellStyle name="見積桁区切り_FIS機能一覧（鴻上改変）_開発見積" xfId="234" xr:uid="{00000000-0005-0000-0000-000007010000}"/>
    <cellStyle name="見積-桁区切り_FIS機能一覧（鴻上改変）_開発見積" xfId="235" xr:uid="{00000000-0005-0000-0000-000008010000}"/>
    <cellStyle name="見積桁区切り_T社WRSサービス作業計画_020214" xfId="236" xr:uid="{00000000-0005-0000-0000-000009010000}"/>
    <cellStyle name="見積-桁区切り_T社WRSサービス作業計画_020214" xfId="237" xr:uid="{00000000-0005-0000-0000-00000A010000}"/>
    <cellStyle name="見積桁区切り_T社WRSサービス作業計画_020214_＜3産2＞見積条件040127" xfId="238" xr:uid="{00000000-0005-0000-0000-00000B010000}"/>
    <cellStyle name="見積-桁区切り_T社WRSサービス作業計画_020214_＜3産2＞見積条件040127" xfId="239" xr:uid="{00000000-0005-0000-0000-00000C010000}"/>
    <cellStyle name="見積桁区切り_T社WRSサービス作業計画_020214_JITEC見積_03.10.1" xfId="240" xr:uid="{00000000-0005-0000-0000-00000D010000}"/>
    <cellStyle name="見積-桁区切り_T社WRSサービス作業計画_020214_JITEC見積_03.10.1" xfId="241" xr:uid="{00000000-0005-0000-0000-00000E010000}"/>
    <cellStyle name="見積桁区切り_T社WRSサービス作業計画_020214_JITEC見積_03.10.1_工数内訳" xfId="242" xr:uid="{00000000-0005-0000-0000-00000F010000}"/>
    <cellStyle name="見積-桁区切り_T社WRSサービス作業計画_020214_JITEC見積_03.10.1_工数内訳" xfId="243" xr:uid="{00000000-0005-0000-0000-000010010000}"/>
    <cellStyle name="見積桁区切り_T社WRSサービス作業計画_020214_JITEC見積_03.9.28" xfId="244" xr:uid="{00000000-0005-0000-0000-000011010000}"/>
    <cellStyle name="見積-桁区切り_T社WRSサービス作業計画_020214_JITEC見積_03.9.28" xfId="245" xr:uid="{00000000-0005-0000-0000-000012010000}"/>
    <cellStyle name="見積桁区切り_T社WRSサービス作業計画_020214_WRS新卒全体ｽｹｼﾞｭｰﾙ" xfId="246" xr:uid="{00000000-0005-0000-0000-000013010000}"/>
    <cellStyle name="見積-桁区切り_T社WRSサービス作業計画_020214_WRS新卒全体ｽｹｼﾞｭｰﾙ" xfId="247" xr:uid="{00000000-0005-0000-0000-000014010000}"/>
    <cellStyle name="見積桁区切り_T社WRSサービス作業計画_020214_WRS新卒全体ｽｹｼﾞｭｰﾙ_＜3産2＞見積条件040127" xfId="248" xr:uid="{00000000-0005-0000-0000-000015010000}"/>
    <cellStyle name="見積-桁区切り_T社WRSサービス作業計画_020214_WRS新卒全体ｽｹｼﾞｭｰﾙ_＜3産2＞見積条件040127" xfId="249" xr:uid="{00000000-0005-0000-0000-000016010000}"/>
    <cellStyle name="見積桁区切り_T社WRSサービス作業計画_020214_WRS新卒全体ｽｹｼﾞｭｰﾙ_JITEC見積_03.10.1" xfId="250" xr:uid="{00000000-0005-0000-0000-000017010000}"/>
    <cellStyle name="見積-桁区切り_T社WRSサービス作業計画_020214_WRS新卒全体ｽｹｼﾞｭｰﾙ_JITEC見積_03.10.1" xfId="251" xr:uid="{00000000-0005-0000-0000-000018010000}"/>
    <cellStyle name="見積桁区切り_T社WRSサービス作業計画_020214_WRS新卒全体ｽｹｼﾞｭｰﾙ_JITEC見積_03.10.1_工数内訳" xfId="252" xr:uid="{00000000-0005-0000-0000-000019010000}"/>
    <cellStyle name="見積-桁区切り_T社WRSサービス作業計画_020214_WRS新卒全体ｽｹｼﾞｭｰﾙ_JITEC見積_03.10.1_工数内訳" xfId="253" xr:uid="{00000000-0005-0000-0000-00001A010000}"/>
    <cellStyle name="見積桁区切り_T社WRSサービス作業計画_020214_WRS新卒全体ｽｹｼﾞｭｰﾙ_JITEC見積_03.9.28" xfId="254" xr:uid="{00000000-0005-0000-0000-00001B010000}"/>
    <cellStyle name="見積-桁区切り_T社WRSサービス作業計画_020214_WRS新卒全体ｽｹｼﾞｭｰﾙ_JITEC見積_03.9.28" xfId="255" xr:uid="{00000000-0005-0000-0000-00001C010000}"/>
    <cellStyle name="見積桁区切り_T社WRSサービス作業計画_020214_WRS新卒全体ｽｹｼﾞｭｰﾙ_WRS詳細設計書format(blue)" xfId="256" xr:uid="{00000000-0005-0000-0000-00001D010000}"/>
    <cellStyle name="見積-桁区切り_T社WRSサービス作業計画_020214_WRS新卒全体ｽｹｼﾞｭｰﾙ_WRS詳細設計書format(blue)" xfId="257" xr:uid="{00000000-0005-0000-0000-00001E010000}"/>
    <cellStyle name="見積桁区切り_T社WRSサービス作業計画_020214_WRS新卒全体ｽｹｼﾞｭｰﾙ_WRS詳細設計書format(blue)_＜3産2＞見積条件040127" xfId="258" xr:uid="{00000000-0005-0000-0000-00001F010000}"/>
    <cellStyle name="見積-桁区切り_T社WRSサービス作業計画_020214_WRS新卒全体ｽｹｼﾞｭｰﾙ_WRS詳細設計書format(blue)_＜3産2＞見積条件040127" xfId="259" xr:uid="{00000000-0005-0000-0000-000020010000}"/>
    <cellStyle name="見積桁区切り_T社WRSサービス作業計画_020214_WRS新卒全体ｽｹｼﾞｭｰﾙ_WRS詳細設計書format(blue)_JITEC見積_03.10.1" xfId="260" xr:uid="{00000000-0005-0000-0000-000021010000}"/>
    <cellStyle name="見積-桁区切り_T社WRSサービス作業計画_020214_WRS新卒全体ｽｹｼﾞｭｰﾙ_WRS詳細設計書format(blue)_JITEC見積_03.10.1" xfId="261" xr:uid="{00000000-0005-0000-0000-000022010000}"/>
    <cellStyle name="見積桁区切り_T社WRSサービス作業計画_020214_WRS新卒全体ｽｹｼﾞｭｰﾙ_WRS詳細設計書format(blue)_JITEC見積_03.10.1_工数内訳" xfId="262" xr:uid="{00000000-0005-0000-0000-000023010000}"/>
    <cellStyle name="見積-桁区切り_T社WRSサービス作業計画_020214_WRS新卒全体ｽｹｼﾞｭｰﾙ_WRS詳細設計書format(blue)_JITEC見積_03.10.1_工数内訳" xfId="263" xr:uid="{00000000-0005-0000-0000-000024010000}"/>
    <cellStyle name="見積桁区切り_T社WRSサービス作業計画_020214_WRS新卒全体ｽｹｼﾞｭｰﾙ_WRS詳細設計書format(blue)_JITEC見積_03.9.28" xfId="264" xr:uid="{00000000-0005-0000-0000-000025010000}"/>
    <cellStyle name="見積-桁区切り_T社WRSサービス作業計画_020214_WRS新卒全体ｽｹｼﾞｭｰﾙ_WRS詳細設計書format(blue)_JITEC見積_03.9.28" xfId="265" xr:uid="{00000000-0005-0000-0000-000026010000}"/>
    <cellStyle name="見積桁区切り_T社WRSサービス作業計画_020214_WRS新卒全体ｽｹｼﾞｭｰﾙ_WRS詳細設計書format(blue)_ソフトSS概算見積_030620" xfId="266" xr:uid="{00000000-0005-0000-0000-000027010000}"/>
    <cellStyle name="見積-桁区切り_T社WRSサービス作業計画_020214_WRS新卒全体ｽｹｼﾞｭｰﾙ_WRS詳細設計書format(blue)_ソフトSS概算見積_030620" xfId="267" xr:uid="{00000000-0005-0000-0000-000028010000}"/>
    <cellStyle name="見積桁区切り_T社WRSサービス作業計画_020214_WRS新卒全体ｽｹｼﾞｭｰﾙ_WRS詳細設計書format(blue)_ソフトSS概算見積_030620_＜3産2＞見積条件040127" xfId="268" xr:uid="{00000000-0005-0000-0000-000029010000}"/>
    <cellStyle name="見積-桁区切り_T社WRSサービス作業計画_020214_WRS新卒全体ｽｹｼﾞｭｰﾙ_WRS詳細設計書format(blue)_ソフトSS概算見積_030620_＜3産2＞見積条件040127" xfId="269" xr:uid="{00000000-0005-0000-0000-00002A010000}"/>
    <cellStyle name="見積桁区切り_T社WRSサービス作業計画_020214_WRS新卒全体ｽｹｼﾞｭｰﾙ_WRS詳細設計書format(blue)_ソフトSS概算見積_030620_1" xfId="270" xr:uid="{00000000-0005-0000-0000-00002B010000}"/>
    <cellStyle name="見積-桁区切り_T社WRSサービス作業計画_020214_WRS新卒全体ｽｹｼﾞｭｰﾙ_WRS詳細設計書format(blue)_ソフトSS概算見積_030620_1" xfId="271" xr:uid="{00000000-0005-0000-0000-00002C010000}"/>
    <cellStyle name="見積桁区切り_T社WRSサービス作業計画_020214_WRS新卒全体ｽｹｼﾞｭｰﾙ_WRS詳細設計書format(blue)_ソフトSS概算見積_030620_JITEC見積_03.10.1" xfId="272" xr:uid="{00000000-0005-0000-0000-00002D010000}"/>
    <cellStyle name="見積-桁区切り_T社WRSサービス作業計画_020214_WRS新卒全体ｽｹｼﾞｭｰﾙ_WRS詳細設計書format(blue)_ソフトSS概算見積_030620_JITEC見積_03.10.1" xfId="273" xr:uid="{00000000-0005-0000-0000-00002E010000}"/>
    <cellStyle name="見積桁区切り_T社WRSサービス作業計画_020214_WRS新卒全体ｽｹｼﾞｭｰﾙ_WRS詳細設計書format(blue)_ソフトSS概算見積_030620_JITEC見積_03.10.1_工数内訳" xfId="274" xr:uid="{00000000-0005-0000-0000-00002F010000}"/>
    <cellStyle name="見積-桁区切り_T社WRSサービス作業計画_020214_WRS新卒全体ｽｹｼﾞｭｰﾙ_WRS詳細設計書format(blue)_ソフトSS概算見積_030620_JITEC見積_03.10.1_工数内訳" xfId="275" xr:uid="{00000000-0005-0000-0000-000030010000}"/>
    <cellStyle name="見積桁区切り_T社WRSサービス作業計画_020214_WRS新卒全体ｽｹｼﾞｭｰﾙ_WRS詳細設計書format(blue)_ソフトSS概算見積_030620_JITEC見積_03.9.28" xfId="276" xr:uid="{00000000-0005-0000-0000-000031010000}"/>
    <cellStyle name="見積-桁区切り_T社WRSサービス作業計画_020214_WRS新卒全体ｽｹｼﾞｭｰﾙ_WRS詳細設計書format(blue)_ソフトSS概算見積_030620_JITEC見積_03.9.28" xfId="277" xr:uid="{00000000-0005-0000-0000-000032010000}"/>
    <cellStyle name="見積桁区切り_T社WRSサービス作業計画_020214_WRS新卒全体ｽｹｼﾞｭｰﾙ_WRS詳細設計書format(blue)_ソフトSS概算見積_030620_ソフトSS概算見" xfId="278" xr:uid="{00000000-0005-0000-0000-000033010000}"/>
    <cellStyle name="見積-桁区切り_T社WRSサービス作業計画_020214_WRS新卒全体ｽｹｼﾞｭｰﾙ_WRS詳細設計書format(blue)_ソフトSS概算見積_030620_ソフトSS概算見" xfId="279" xr:uid="{00000000-0005-0000-0000-000034010000}"/>
    <cellStyle name="見積桁区切り_T社WRSサービス作業計画_020214_WRS新卒全体ｽｹｼﾞｭｰﾙ_WRS詳細設計書format(blue)_ソフトSS概算見積_030620_ソフトSS概算見_＜3産2＞見積条件040127" xfId="280" xr:uid="{00000000-0005-0000-0000-000035010000}"/>
    <cellStyle name="見積-桁区切り_T社WRSサービス作業計画_020214_WRS新卒全体ｽｹｼﾞｭｰﾙ_WRS詳細設計書format(blue)_ソフトSS概算見積_030620_ソフトSS概算見_＜3産2＞見積条件040127" xfId="281" xr:uid="{00000000-0005-0000-0000-000036010000}"/>
    <cellStyle name="見積桁区切り_T社WRSサービス作業計画_020214_WRS新卒全体ｽｹｼﾞｭｰﾙ_WRS詳細設計書format(blue)_ソフトSS概算見積_030620_ソフトSS概算見_JITEC見積_03.10.1" xfId="282" xr:uid="{00000000-0005-0000-0000-000037010000}"/>
    <cellStyle name="見積-桁区切り_T社WRSサービス作業計画_020214_WRS新卒全体ｽｹｼﾞｭｰﾙ_WRS詳細設計書format(blue)_ソフトSS概算見積_030620_ソフトSS概算見_JITEC見積_03.10.1" xfId="283" xr:uid="{00000000-0005-0000-0000-000038010000}"/>
    <cellStyle name="見積桁区切り_T社WRSサービス作業計画_020214_WRS新卒全体ｽｹｼﾞｭｰﾙ_WRS詳細設計書format(blue)_ソフトSS概算見積_030620_ソフトSS概算見_JITEC見積_03.10.1_工数内訳" xfId="284" xr:uid="{00000000-0005-0000-0000-000039010000}"/>
    <cellStyle name="見積-桁区切り_T社WRSサービス作業計画_020214_WRS新卒全体ｽｹｼﾞｭｰﾙ_WRS詳細設計書format(blue)_ソフトSS概算見積_030620_ソフトSS概算見_JITEC見積_03.10.1_工数内訳" xfId="285" xr:uid="{00000000-0005-0000-0000-00003A010000}"/>
    <cellStyle name="見積桁区切り_T社WRSサービス作業計画_020214_WRS新卒全体ｽｹｼﾞｭｰﾙ_WRS詳細設計書format(blue)_ソフトSS概算見積_030620_ソフトSS概算見_JITEC見積_03.9.28" xfId="286" xr:uid="{00000000-0005-0000-0000-00003B010000}"/>
    <cellStyle name="見積-桁区切り_T社WRSサービス作業計画_020214_WRS新卒全体ｽｹｼﾞｭｰﾙ_WRS詳細設計書format(blue)_ソフトSS概算見積_030620_ソフトSS概算見_JITEC見積_03.9.28" xfId="287" xr:uid="{00000000-0005-0000-0000-00003C010000}"/>
    <cellStyle name="見積桁区切り_T社WRSサービス作業計画_020214_WRS新卒全体ｽｹｼﾞｭｰﾙ_WRS詳細設計書format(blue)_ソフトSS概算見積_030620_ソフトSS概算見_開発見積" xfId="288" xr:uid="{00000000-0005-0000-0000-00003D010000}"/>
    <cellStyle name="見積-桁区切り_T社WRSサービス作業計画_020214_WRS新卒全体ｽｹｼﾞｭｰﾙ_WRS詳細設計書format(blue)_ソフトSS概算見積_030620_ソフトSS概算見_開発見積" xfId="289" xr:uid="{00000000-0005-0000-0000-00003E010000}"/>
    <cellStyle name="見積桁区切り_T社WRSサービス作業計画_020214_WRS新卒全体ｽｹｼﾞｭｰﾙ_WRS詳細設計書format(blue)_ソフトSS概算見積_030620_ソフトSS概算見積_030620" xfId="290" xr:uid="{00000000-0005-0000-0000-00003F010000}"/>
    <cellStyle name="見積-桁区切り_T社WRSサービス作業計画_020214_WRS新卒全体ｽｹｼﾞｭｰﾙ_WRS詳細設計書format(blue)_ソフトSS概算見積_030620_ソフトSS概算見積_030620" xfId="291" xr:uid="{00000000-0005-0000-0000-000040010000}"/>
    <cellStyle name="見積桁区切り_T社WRSサービス作業計画_020214_WRS新卒全体ｽｹｼﾞｭｰﾙ_WRS詳細設計書format(blue)_ソフトSS概算見積_030620_ソフトSS概算見積_030627" xfId="292" xr:uid="{00000000-0005-0000-0000-000041010000}"/>
    <cellStyle name="見積-桁区切り_T社WRSサービス作業計画_020214_WRS新卒全体ｽｹｼﾞｭｰﾙ_WRS詳細設計書format(blue)_ソフトSS概算見積_030620_ソフトSS概算見積_030627" xfId="293" xr:uid="{00000000-0005-0000-0000-000042010000}"/>
    <cellStyle name="見積桁区切り_T社WRSサービス作業計画_020214_WRS新卒全体ｽｹｼﾞｭｰﾙ_WRS詳細設計書format(blue)_ソフトSS概算見積_030620_ソフトSS概算見積_030627_＜3産2＞見積条件040127" xfId="294" xr:uid="{00000000-0005-0000-0000-000043010000}"/>
    <cellStyle name="見積-桁区切り_T社WRSサービス作業計画_020214_WRS新卒全体ｽｹｼﾞｭｰﾙ_WRS詳細設計書format(blue)_ソフトSS概算見積_030620_ソフトSS概算見積_030627_＜3産2＞見積条件040127" xfId="295" xr:uid="{00000000-0005-0000-0000-000044010000}"/>
    <cellStyle name="見積桁区切り_T社WRSサービス作業計画_020214_WRS新卒全体ｽｹｼﾞｭｰﾙ_WRS詳細設計書format(blue)_ソフトSS概算見積_030620_ソフトSS概算見積_030627_1" xfId="296" xr:uid="{00000000-0005-0000-0000-000045010000}"/>
    <cellStyle name="見積-桁区切り_T社WRSサービス作業計画_020214_WRS新卒全体ｽｹｼﾞｭｰﾙ_WRS詳細設計書format(blue)_ソフトSS概算見積_030620_ソフトSS概算見積_030627_1" xfId="297" xr:uid="{00000000-0005-0000-0000-000046010000}"/>
    <cellStyle name="見積桁区切り_T社WRSサービス作業計画_020214_WRS新卒全体ｽｹｼﾞｭｰﾙ_WRS詳細設計書format(blue)_ソフトSS概算見積_030620_ソフトSS概算見積_030627_JITEC見積_03.10.1" xfId="298" xr:uid="{00000000-0005-0000-0000-000047010000}"/>
    <cellStyle name="見積-桁区切り_T社WRSサービス作業計画_020214_WRS新卒全体ｽｹｼﾞｭｰﾙ_WRS詳細設計書format(blue)_ソフトSS概算見積_030620_ソフトSS概算見積_030627_JITEC見積_03.10.1" xfId="299" xr:uid="{00000000-0005-0000-0000-000048010000}"/>
    <cellStyle name="見積桁区切り_T社WRSサービス作業計画_020214_WRS新卒全体ｽｹｼﾞｭｰﾙ_WRS詳細設計書format(blue)_ソフトSS概算見積_030620_ソフトSS概算見積_030627_JITEC見積_03.10.1_工数内訳" xfId="300" xr:uid="{00000000-0005-0000-0000-000049010000}"/>
    <cellStyle name="見積-桁区切り_T社WRSサービス作業計画_020214_WRS新卒全体ｽｹｼﾞｭｰﾙ_WRS詳細設計書format(blue)_ソフトSS概算見積_030620_ソフトSS概算見積_030627_JITEC見積_03.10.1_工数内訳" xfId="301" xr:uid="{00000000-0005-0000-0000-00004A010000}"/>
    <cellStyle name="見積桁区切り_T社WRSサービス作業計画_020214_WRS新卒全体ｽｹｼﾞｭｰﾙ_WRS詳細設計書format(blue)_ソフトSS概算見積_030620_ソフトSS概算見積_030627_JITEC見積_03.9.28" xfId="302" xr:uid="{00000000-0005-0000-0000-00004B010000}"/>
    <cellStyle name="見積-桁区切り_T社WRSサービス作業計画_020214_WRS新卒全体ｽｹｼﾞｭｰﾙ_WRS詳細設計書format(blue)_ソフトSS概算見積_030620_ソフトSS概算見積_030627_JITEC見積_03.9.28" xfId="303" xr:uid="{00000000-0005-0000-0000-00004C010000}"/>
    <cellStyle name="見積桁区切り_T社WRSサービス作業計画_020214_WRS新卒全体ｽｹｼﾞｭｰﾙ_WRS詳細設計書format(blue)_ソフトSS概算見積_030620_ソフトSS概算見積_030627_ソフトSS概算見積_030627" xfId="304" xr:uid="{00000000-0005-0000-0000-00004D010000}"/>
    <cellStyle name="見積-桁区切り_T社WRSサービス作業計画_020214_WRS新卒全体ｽｹｼﾞｭｰﾙ_WRS詳細設計書format(blue)_ソフトSS概算見積_030620_ソフトSS概算見積_030627_ソフトSS概算見積_030627" xfId="305" xr:uid="{00000000-0005-0000-0000-00004E010000}"/>
    <cellStyle name="見積桁区切り_T社WRSサービス作業計画_020214_WRS新卒全体ｽｹｼﾞｭｰﾙ_WRS詳細設計書format(blue)_ソフトSS概算見積_030620_ソフトSS概算見積_030627_開発見積" xfId="306" xr:uid="{00000000-0005-0000-0000-00004F010000}"/>
    <cellStyle name="見積-桁区切り_T社WRSサービス作業計画_020214_WRS新卒全体ｽｹｼﾞｭｰﾙ_WRS詳細設計書format(blue)_ソフトSS概算見積_030620_ソフトSS概算見積_030627_開発見積" xfId="307" xr:uid="{00000000-0005-0000-0000-000050010000}"/>
    <cellStyle name="見積桁区切り_T社WRSサービス作業計画_020214_WRS新卒全体ｽｹｼﾞｭｰﾙ_WRS詳細設計書format(blue)_ソフトSS概算見積_030620_開発見積" xfId="308" xr:uid="{00000000-0005-0000-0000-000051010000}"/>
    <cellStyle name="見積-桁区切り_T社WRSサービス作業計画_020214_WRS新卒全体ｽｹｼﾞｭｰﾙ_WRS詳細設計書format(blue)_ソフトSS概算見積_030620_開発見積" xfId="309" xr:uid="{00000000-0005-0000-0000-000052010000}"/>
    <cellStyle name="見積桁区切り_T社WRSサービス作業計画_020214_WRS新卒全体ｽｹｼﾞｭｰﾙ_WRS詳細設計書format(blue)_ソフトSS概算見積_03062１営業修正" xfId="310" xr:uid="{00000000-0005-0000-0000-000053010000}"/>
    <cellStyle name="見積-桁区切り_T社WRSサービス作業計画_020214_WRS新卒全体ｽｹｼﾞｭｰﾙ_WRS詳細設計書format(blue)_ソフトSS概算見積_03062１営業修正" xfId="311" xr:uid="{00000000-0005-0000-0000-000054010000}"/>
    <cellStyle name="見積桁区切り_T社WRSサービス作業計画_020214_WRS新卒全体ｽｹｼﾞｭｰﾙ_WRS詳細設計書format(blue)_ソフトSS概算見積_03062１営業修正_＜3産2＞見積条件040127" xfId="312" xr:uid="{00000000-0005-0000-0000-000055010000}"/>
    <cellStyle name="見積-桁区切り_T社WRSサービス作業計画_020214_WRS新卒全体ｽｹｼﾞｭｰﾙ_WRS詳細設計書format(blue)_ソフトSS概算見積_03062１営業修正_＜3産2＞見積条件040127" xfId="313" xr:uid="{00000000-0005-0000-0000-000056010000}"/>
    <cellStyle name="見積桁区切り_T社WRSサービス作業計画_020214_WRS新卒全体ｽｹｼﾞｭｰﾙ_WRS詳細設計書format(blue)_ソフトSS概算見積_03062１営業修正_JITEC見積_03.10.1" xfId="314" xr:uid="{00000000-0005-0000-0000-000057010000}"/>
    <cellStyle name="見積-桁区切り_T社WRSサービス作業計画_020214_WRS新卒全体ｽｹｼﾞｭｰﾙ_WRS詳細設計書format(blue)_ソフトSS概算見積_03062１営業修正_JITEC見積_03.10.1" xfId="315" xr:uid="{00000000-0005-0000-0000-000058010000}"/>
    <cellStyle name="見積桁区切り_T社WRSサービス作業計画_020214_WRS新卒全体ｽｹｼﾞｭｰﾙ_WRS詳細設計書format(blue)_ソフトSS概算見積_03062１営業修正_JITEC見積_03.10.1_工数内訳" xfId="316" xr:uid="{00000000-0005-0000-0000-000059010000}"/>
    <cellStyle name="見積-桁区切り_T社WRSサービス作業計画_020214_WRS新卒全体ｽｹｼﾞｭｰﾙ_WRS詳細設計書format(blue)_ソフトSS概算見積_03062１営業修正_JITEC見積_03.10.1_工数内訳" xfId="317" xr:uid="{00000000-0005-0000-0000-00005A010000}"/>
    <cellStyle name="見積桁区切り_T社WRSサービス作業計画_020214_WRS新卒全体ｽｹｼﾞｭｰﾙ_WRS詳細設計書format(blue)_ソフトSS概算見積_03062１営業修正_JITEC見積_03.9.28" xfId="318" xr:uid="{00000000-0005-0000-0000-00005B010000}"/>
    <cellStyle name="見積-桁区切り_T社WRSサービス作業計画_020214_WRS新卒全体ｽｹｼﾞｭｰﾙ_WRS詳細設計書format(blue)_ソフトSS概算見積_03062１営業修正_JITEC見積_03.9.28" xfId="319" xr:uid="{00000000-0005-0000-0000-00005C010000}"/>
    <cellStyle name="見積桁区切り_T社WRSサービス作業計画_020214_WRS新卒全体ｽｹｼﾞｭｰﾙ_WRS詳細設計書format(blue)_ソフトSS概算見積_03062１営業修正_ソフトSS概算見" xfId="320" xr:uid="{00000000-0005-0000-0000-00005D010000}"/>
    <cellStyle name="見積-桁区切り_T社WRSサービス作業計画_020214_WRS新卒全体ｽｹｼﾞｭｰﾙ_WRS詳細設計書format(blue)_ソフトSS概算見積_03062１営業修正_ソフトSS概算見" xfId="321" xr:uid="{00000000-0005-0000-0000-00005E010000}"/>
    <cellStyle name="見積桁区切り_T社WRSサービス作業計画_020214_WRS新卒全体ｽｹｼﾞｭｰﾙ_WRS詳細設計書format(blue)_ソフトSS概算見積_03062１営業修正_ソフトSS概算見_＜3産2＞見積条件040127" xfId="322" xr:uid="{00000000-0005-0000-0000-00005F010000}"/>
    <cellStyle name="見積-桁区切り_T社WRSサービス作業計画_020214_WRS新卒全体ｽｹｼﾞｭｰﾙ_WRS詳細設計書format(blue)_ソフトSS概算見積_03062１営業修正_ソフトSS概算見_＜3産2＞見積条件040127" xfId="323" xr:uid="{00000000-0005-0000-0000-000060010000}"/>
    <cellStyle name="見積桁区切り_T社WRSサービス作業計画_020214_WRS新卒全体ｽｹｼﾞｭｰﾙ_WRS詳細設計書format(blue)_ソフトSS概算見積_03062１営業修正_ソフトSS概算見_JITEC見積_03.10.1" xfId="324" xr:uid="{00000000-0005-0000-0000-000061010000}"/>
    <cellStyle name="見積-桁区切り_T社WRSサービス作業計画_020214_WRS新卒全体ｽｹｼﾞｭｰﾙ_WRS詳細設計書format(blue)_ソフトSS概算見積_03062１営業修正_ソフトSS概算見_JITEC見積_03.10.1" xfId="325" xr:uid="{00000000-0005-0000-0000-000062010000}"/>
    <cellStyle name="見積桁区切り_T社WRSサービス作業計画_020214_WRS新卒全体ｽｹｼﾞｭｰﾙ_WRS詳細設計書format(blue)_ソフトSS概算見積_03062１営業修正_ソフトSS概算見_JITEC見積_03.10.1_工数内訳" xfId="326" xr:uid="{00000000-0005-0000-0000-000063010000}"/>
    <cellStyle name="見積-桁区切り_T社WRSサービス作業計画_020214_WRS新卒全体ｽｹｼﾞｭｰﾙ_WRS詳細設計書format(blue)_ソフトSS概算見積_03062１営業修正_ソフトSS概算見_JITEC見積_03.10.1_工数内訳" xfId="327" xr:uid="{00000000-0005-0000-0000-000064010000}"/>
    <cellStyle name="見積桁区切り_T社WRSサービス作業計画_020214_WRS新卒全体ｽｹｼﾞｭｰﾙ_WRS詳細設計書format(blue)_ソフトSS概算見積_03062１営業修正_ソフトSS概算見_JITEC見積_03.9.28" xfId="328" xr:uid="{00000000-0005-0000-0000-000065010000}"/>
    <cellStyle name="見積-桁区切り_T社WRSサービス作業計画_020214_WRS新卒全体ｽｹｼﾞｭｰﾙ_WRS詳細設計書format(blue)_ソフトSS概算見積_03062１営業修正_ソフトSS概算見_JITEC見積_03.9.28" xfId="329" xr:uid="{00000000-0005-0000-0000-000066010000}"/>
    <cellStyle name="見積桁区切り_T社WRSサービス作業計画_020214_WRS新卒全体ｽｹｼﾞｭｰﾙ_WRS詳細設計書format(blue)_ソフトSS概算見積_03062１営業修正_ソフトSS概算見_開発見積" xfId="330" xr:uid="{00000000-0005-0000-0000-000067010000}"/>
    <cellStyle name="見積-桁区切り_T社WRSサービス作業計画_020214_WRS新卒全体ｽｹｼﾞｭｰﾙ_WRS詳細設計書format(blue)_ソフトSS概算見積_03062１営業修正_ソフトSS概算見_開発見積" xfId="331" xr:uid="{00000000-0005-0000-0000-000068010000}"/>
    <cellStyle name="見積桁区切り_T社WRSサービス作業計画_020214_WRS新卒全体ｽｹｼﾞｭｰﾙ_WRS詳細設計書format(blue)_ソフトSS概算見積_03062１営業修正_開発見積" xfId="332" xr:uid="{00000000-0005-0000-0000-000069010000}"/>
    <cellStyle name="見積-桁区切り_T社WRSサービス作業計画_020214_WRS新卒全体ｽｹｼﾞｭｰﾙ_WRS詳細設計書format(blue)_ソフトSS概算見積_03062１営業修正_開発見積" xfId="333" xr:uid="{00000000-0005-0000-0000-00006A010000}"/>
    <cellStyle name="見積桁区切り_T社WRSサービス作業計画_020214_WRS新卒全体ｽｹｼﾞｭｰﾙ_WRS詳細設計書format(blue)_ソフトSS概算見積_030627" xfId="334" xr:uid="{00000000-0005-0000-0000-00006B010000}"/>
    <cellStyle name="見積-桁区切り_T社WRSサービス作業計画_020214_WRS新卒全体ｽｹｼﾞｭｰﾙ_WRS詳細設計書format(blue)_ソフトSS概算見積_030627" xfId="335" xr:uid="{00000000-0005-0000-0000-00006C010000}"/>
    <cellStyle name="見積桁区切り_T社WRSサービス作業計画_020214_WRS新卒全体ｽｹｼﾞｭｰﾙ_WRS詳細設計書format(blue)_開発見積" xfId="336" xr:uid="{00000000-0005-0000-0000-00006D010000}"/>
    <cellStyle name="見積-桁区切り_T社WRSサービス作業計画_020214_WRS新卒全体ｽｹｼﾞｭｰﾙ_WRS詳細設計書format(blue)_開発見積" xfId="337" xr:uid="{00000000-0005-0000-0000-00006E010000}"/>
    <cellStyle name="見積桁区切り_T社WRSサービス作業計画_020214_WRS新卒全体ｽｹｼﾞｭｰﾙ_WRS詳細設計書format(blue)_自治体向けｻｲﾄ構築機能整理表_Ver2" xfId="338" xr:uid="{00000000-0005-0000-0000-00006F010000}"/>
    <cellStyle name="見積-桁区切り_T社WRSサービス作業計画_020214_WRS新卒全体ｽｹｼﾞｭｰﾙ_WRS詳細設計書format(blue)_自治体向けｻｲﾄ構築機能整理表_Ver2" xfId="339" xr:uid="{00000000-0005-0000-0000-000070010000}"/>
    <cellStyle name="見積桁区切り_T社WRSサービス作業計画_020214_WRS新卒全体ｽｹｼﾞｭｰﾙ_WRS新卒全体ｽｹｼﾞｭｰﾙ" xfId="340" xr:uid="{00000000-0005-0000-0000-000071010000}"/>
    <cellStyle name="見積-桁区切り_T社WRSサービス作業計画_020214_WRS新卒全体ｽｹｼﾞｭｰﾙ_WRS新卒全体ｽｹｼﾞｭｰﾙ" xfId="341" xr:uid="{00000000-0005-0000-0000-000072010000}"/>
    <cellStyle name="見積桁区切り_T社WRSサービス作業計画_020214_WRS新卒全体ｽｹｼﾞｭｰﾙ_WRS新卒全体ｽｹｼﾞｭｰﾙ_＜3産2＞見積条件040127" xfId="342" xr:uid="{00000000-0005-0000-0000-000073010000}"/>
    <cellStyle name="見積-桁区切り_T社WRSサービス作業計画_020214_WRS新卒全体ｽｹｼﾞｭｰﾙ_WRS新卒全体ｽｹｼﾞｭｰﾙ_＜3産2＞見積条件040127" xfId="343" xr:uid="{00000000-0005-0000-0000-000074010000}"/>
    <cellStyle name="見積桁区切り_T社WRSサービス作業計画_020214_WRS新卒全体ｽｹｼﾞｭｰﾙ_WRS新卒全体ｽｹｼﾞｭｰﾙ_JITEC見積_03.10.1" xfId="344" xr:uid="{00000000-0005-0000-0000-000075010000}"/>
    <cellStyle name="見積-桁区切り_T社WRSサービス作業計画_020214_WRS新卒全体ｽｹｼﾞｭｰﾙ_WRS新卒全体ｽｹｼﾞｭｰﾙ_JITEC見積_03.10.1" xfId="345" xr:uid="{00000000-0005-0000-0000-000076010000}"/>
    <cellStyle name="見積桁区切り_T社WRSサービス作業計画_020214_WRS新卒全体ｽｹｼﾞｭｰﾙ_WRS新卒全体ｽｹｼﾞｭｰﾙ_JITEC見積_03.10.1_工数内訳" xfId="346" xr:uid="{00000000-0005-0000-0000-000077010000}"/>
    <cellStyle name="見積-桁区切り_T社WRSサービス作業計画_020214_WRS新卒全体ｽｹｼﾞｭｰﾙ_WRS新卒全体ｽｹｼﾞｭｰﾙ_JITEC見積_03.10.1_工数内訳" xfId="347" xr:uid="{00000000-0005-0000-0000-000078010000}"/>
    <cellStyle name="見積桁区切り_T社WRSサービス作業計画_020214_WRS新卒全体ｽｹｼﾞｭｰﾙ_WRS新卒全体ｽｹｼﾞｭｰﾙ_JITEC見積_03.9.28" xfId="348" xr:uid="{00000000-0005-0000-0000-000079010000}"/>
    <cellStyle name="見積-桁区切り_T社WRSサービス作業計画_020214_WRS新卒全体ｽｹｼﾞｭｰﾙ_WRS新卒全体ｽｹｼﾞｭｰﾙ_JITEC見積_03.9.28" xfId="349" xr:uid="{00000000-0005-0000-0000-00007A010000}"/>
    <cellStyle name="見積桁区切り_T社WRSサービス作業計画_020214_WRS新卒全体ｽｹｼﾞｭｰﾙ_WRS新卒全体ｽｹｼﾞｭｰﾙ_ソフトSS概算見積_030620" xfId="350" xr:uid="{00000000-0005-0000-0000-00007B010000}"/>
    <cellStyle name="見積-桁区切り_T社WRSサービス作業計画_020214_WRS新卒全体ｽｹｼﾞｭｰﾙ_WRS新卒全体ｽｹｼﾞｭｰﾙ_ソフトSS概算見積_030620" xfId="351" xr:uid="{00000000-0005-0000-0000-00007C010000}"/>
    <cellStyle name="見積桁区切り_T社WRSサービス作業計画_020214_WRS新卒全体ｽｹｼﾞｭｰﾙ_WRS新卒全体ｽｹｼﾞｭｰﾙ_ソフトSS概算見積_030620_＜3産2＞見積条件040127" xfId="352" xr:uid="{00000000-0005-0000-0000-00007D010000}"/>
    <cellStyle name="見積-桁区切り_T社WRSサービス作業計画_020214_WRS新卒全体ｽｹｼﾞｭｰﾙ_WRS新卒全体ｽｹｼﾞｭｰﾙ_ソフトSS概算見積_030620_＜3産2＞見積条件040127" xfId="353" xr:uid="{00000000-0005-0000-0000-00007E010000}"/>
    <cellStyle name="見積桁区切り_T社WRSサービス作業計画_020214_WRS新卒全体ｽｹｼﾞｭｰﾙ_WRS新卒全体ｽｹｼﾞｭｰﾙ_ソフトSS概算見積_030620_1" xfId="354" xr:uid="{00000000-0005-0000-0000-00007F010000}"/>
    <cellStyle name="見積-桁区切り_T社WRSサービス作業計画_020214_WRS新卒全体ｽｹｼﾞｭｰﾙ_WRS新卒全体ｽｹｼﾞｭｰﾙ_ソフトSS概算見積_030620_1" xfId="355" xr:uid="{00000000-0005-0000-0000-000080010000}"/>
    <cellStyle name="見積桁区切り_T社WRSサービス作業計画_020214_WRS新卒全体ｽｹｼﾞｭｰﾙ_WRS新卒全体ｽｹｼﾞｭｰﾙ_ソフトSS概算見積_030620_JITEC見積_03.10.1" xfId="356" xr:uid="{00000000-0005-0000-0000-000081010000}"/>
    <cellStyle name="見積-桁区切り_T社WRSサービス作業計画_020214_WRS新卒全体ｽｹｼﾞｭｰﾙ_WRS新卒全体ｽｹｼﾞｭｰﾙ_ソフトSS概算見積_030620_JITEC見積_03.10.1" xfId="357" xr:uid="{00000000-0005-0000-0000-000082010000}"/>
    <cellStyle name="見積桁区切り_T社WRSサービス作業計画_020214_WRS新卒全体ｽｹｼﾞｭｰﾙ_WRS新卒全体ｽｹｼﾞｭｰﾙ_ソフトSS概算見積_030620_JITEC見積_03.10.1_工数内訳" xfId="358" xr:uid="{00000000-0005-0000-0000-000083010000}"/>
    <cellStyle name="見積-桁区切り_T社WRSサービス作業計画_020214_WRS新卒全体ｽｹｼﾞｭｰﾙ_WRS新卒全体ｽｹｼﾞｭｰﾙ_ソフトSS概算見積_030620_JITEC見積_03.10.1_工数内訳" xfId="359" xr:uid="{00000000-0005-0000-0000-000084010000}"/>
    <cellStyle name="見積桁区切り_T社WRSサービス作業計画_020214_WRS新卒全体ｽｹｼﾞｭｰﾙ_WRS新卒全体ｽｹｼﾞｭｰﾙ_ソフトSS概算見積_030620_JITEC見積_03.9.28" xfId="360" xr:uid="{00000000-0005-0000-0000-000085010000}"/>
    <cellStyle name="見積-桁区切り_T社WRSサービス作業計画_020214_WRS新卒全体ｽｹｼﾞｭｰﾙ_WRS新卒全体ｽｹｼﾞｭｰﾙ_ソフトSS概算見積_030620_JITEC見積_03.9.28" xfId="361" xr:uid="{00000000-0005-0000-0000-000086010000}"/>
    <cellStyle name="見積桁区切り_T社WRSサービス作業計画_020214_WRS新卒全体ｽｹｼﾞｭｰﾙ_WRS新卒全体ｽｹｼﾞｭｰﾙ_ソフトSS概算見積_030620_ソフトSS概算見" xfId="362" xr:uid="{00000000-0005-0000-0000-000087010000}"/>
    <cellStyle name="見積-桁区切り_T社WRSサービス作業計画_020214_WRS新卒全体ｽｹｼﾞｭｰﾙ_WRS新卒全体ｽｹｼﾞｭｰﾙ_ソフトSS概算見積_030620_ソフトSS概算見" xfId="363" xr:uid="{00000000-0005-0000-0000-000088010000}"/>
    <cellStyle name="見積桁区切り_T社WRSサービス作業計画_020214_WRS新卒全体ｽｹｼﾞｭｰﾙ_WRS新卒全体ｽｹｼﾞｭｰﾙ_ソフトSS概算見積_030620_ソフトSS概算見_＜3産2＞見積条件040127" xfId="364" xr:uid="{00000000-0005-0000-0000-000089010000}"/>
    <cellStyle name="見積-桁区切り_T社WRSサービス作業計画_020214_WRS新卒全体ｽｹｼﾞｭｰﾙ_WRS新卒全体ｽｹｼﾞｭｰﾙ_ソフトSS概算見積_030620_ソフトSS概算見_＜3産2＞見積条件040127" xfId="365" xr:uid="{00000000-0005-0000-0000-00008A010000}"/>
    <cellStyle name="見積桁区切り_T社WRSサービス作業計画_020214_WRS新卒全体ｽｹｼﾞｭｰﾙ_WRS新卒全体ｽｹｼﾞｭｰﾙ_ソフトSS概算見積_030620_ソフトSS概算見_JITEC見積_03.10.1" xfId="366" xr:uid="{00000000-0005-0000-0000-00008B010000}"/>
    <cellStyle name="見積-桁区切り_T社WRSサービス作業計画_020214_WRS新卒全体ｽｹｼﾞｭｰﾙ_WRS新卒全体ｽｹｼﾞｭｰﾙ_ソフトSS概算見積_030620_ソフトSS概算見_JITEC見積_03.10.1" xfId="367" xr:uid="{00000000-0005-0000-0000-00008C010000}"/>
    <cellStyle name="見積桁区切り_T社WRSサービス作業計画_020214_WRS新卒全体ｽｹｼﾞｭｰﾙ_WRS新卒全体ｽｹｼﾞｭｰﾙ_ソフトSS概算見積_030620_ソフトSS概算見_JITEC見積_03.10.1_工数内訳" xfId="368" xr:uid="{00000000-0005-0000-0000-00008D010000}"/>
    <cellStyle name="見積-桁区切り_T社WRSサービス作業計画_020214_WRS新卒全体ｽｹｼﾞｭｰﾙ_WRS新卒全体ｽｹｼﾞｭｰﾙ_ソフトSS概算見積_030620_ソフトSS概算見_JITEC見積_03.10.1_工数内訳" xfId="369" xr:uid="{00000000-0005-0000-0000-00008E010000}"/>
    <cellStyle name="見積桁区切り_T社WRSサービス作業計画_020214_WRS新卒全体ｽｹｼﾞｭｰﾙ_WRS新卒全体ｽｹｼﾞｭｰﾙ_ソフトSS概算見積_030620_ソフトSS概算見_JITEC見積_03.9.28" xfId="370" xr:uid="{00000000-0005-0000-0000-00008F010000}"/>
    <cellStyle name="見積-桁区切り_T社WRSサービス作業計画_020214_WRS新卒全体ｽｹｼﾞｭｰﾙ_WRS新卒全体ｽｹｼﾞｭｰﾙ_ソフトSS概算見積_030620_ソフトSS概算見_JITEC見積_03.9.28" xfId="371" xr:uid="{00000000-0005-0000-0000-000090010000}"/>
    <cellStyle name="見積桁区切り_T社WRSサービス作業計画_020214_WRS新卒全体ｽｹｼﾞｭｰﾙ_WRS新卒全体ｽｹｼﾞｭｰﾙ_ソフトSS概算見積_030620_ソフトSS概算見_開発見積" xfId="372" xr:uid="{00000000-0005-0000-0000-000091010000}"/>
    <cellStyle name="見積-桁区切り_T社WRSサービス作業計画_020214_WRS新卒全体ｽｹｼﾞｭｰﾙ_WRS新卒全体ｽｹｼﾞｭｰﾙ_ソフトSS概算見積_030620_ソフトSS概算見_開発見積" xfId="373" xr:uid="{00000000-0005-0000-0000-000092010000}"/>
    <cellStyle name="見積桁区切り_T社WRSサービス作業計画_020214_WRS新卒全体ｽｹｼﾞｭｰﾙ_WRS新卒全体ｽｹｼﾞｭｰﾙ_ソフトSS概算見積_030620_ソフトSS概算見積_030620" xfId="374" xr:uid="{00000000-0005-0000-0000-000093010000}"/>
    <cellStyle name="見積-桁区切り_T社WRSサービス作業計画_020214_WRS新卒全体ｽｹｼﾞｭｰﾙ_WRS新卒全体ｽｹｼﾞｭｰﾙ_ソフトSS概算見積_030620_ソフトSS概算見積_030620" xfId="375" xr:uid="{00000000-0005-0000-0000-000094010000}"/>
    <cellStyle name="見積桁区切り_T社WRSサービス作業計画_020214_WRS新卒全体ｽｹｼﾞｭｰﾙ_WRS新卒全体ｽｹｼﾞｭｰﾙ_ソフトSS概算見積_030620_ソフトSS概算見積_030627" xfId="376" xr:uid="{00000000-0005-0000-0000-000095010000}"/>
    <cellStyle name="見積-桁区切り_T社WRSサービス作業計画_020214_WRS新卒全体ｽｹｼﾞｭｰﾙ_WRS新卒全体ｽｹｼﾞｭｰﾙ_ソフトSS概算見積_030620_ソフトSS概算見積_030627" xfId="377" xr:uid="{00000000-0005-0000-0000-000096010000}"/>
    <cellStyle name="見積桁区切り_T社WRSサービス作業計画_020214_WRS新卒全体ｽｹｼﾞｭｰﾙ_WRS新卒全体ｽｹｼﾞｭｰﾙ_ソフトSS概算見積_030620_ソフトSS概算見積_030627_＜3産2＞見積条件040127" xfId="378" xr:uid="{00000000-0005-0000-0000-000097010000}"/>
    <cellStyle name="見積-桁区切り_T社WRSサービス作業計画_020214_WRS新卒全体ｽｹｼﾞｭｰﾙ_WRS新卒全体ｽｹｼﾞｭｰﾙ_ソフトSS概算見積_030620_ソフトSS概算見積_030627_＜3産2＞見積条件040127" xfId="379" xr:uid="{00000000-0005-0000-0000-000098010000}"/>
    <cellStyle name="見積桁区切り_T社WRSサービス作業計画_020214_WRS新卒全体ｽｹｼﾞｭｰﾙ_WRS新卒全体ｽｹｼﾞｭｰﾙ_ソフトSS概算見積_030620_ソフトSS概算見積_030627_1" xfId="380" xr:uid="{00000000-0005-0000-0000-000099010000}"/>
    <cellStyle name="見積-桁区切り_T社WRSサービス作業計画_020214_WRS新卒全体ｽｹｼﾞｭｰﾙ_WRS新卒全体ｽｹｼﾞｭｰﾙ_ソフトSS概算見積_030620_ソフトSS概算見積_030627_1" xfId="381" xr:uid="{00000000-0005-0000-0000-00009A010000}"/>
    <cellStyle name="見積桁区切り_T社WRSサービス作業計画_020214_WRS新卒全体ｽｹｼﾞｭｰﾙ_WRS新卒全体ｽｹｼﾞｭｰﾙ_ソフトSS概算見積_030620_ソフトSS概算見積_030627_JITEC見積_03.10.1" xfId="382" xr:uid="{00000000-0005-0000-0000-00009B010000}"/>
    <cellStyle name="見積-桁区切り_T社WRSサービス作業計画_020214_WRS新卒全体ｽｹｼﾞｭｰﾙ_WRS新卒全体ｽｹｼﾞｭｰﾙ_ソフトSS概算見積_030620_ソフトSS概算見積_030627_JITEC見積_03.10.1" xfId="383" xr:uid="{00000000-0005-0000-0000-00009C010000}"/>
    <cellStyle name="見積桁区切り_T社WRSサービス作業計画_020214_WRS新卒全体ｽｹｼﾞｭｰﾙ_WRS新卒全体ｽｹｼﾞｭｰﾙ_ソフトSS概算見積_030620_ソフトSS概算見積_030627_JITEC見積_03.10.1_工数内訳" xfId="384" xr:uid="{00000000-0005-0000-0000-00009D010000}"/>
    <cellStyle name="見積-桁区切り_T社WRSサービス作業計画_020214_WRS新卒全体ｽｹｼﾞｭｰﾙ_WRS新卒全体ｽｹｼﾞｭｰﾙ_ソフトSS概算見積_030620_ソフトSS概算見積_030627_JITEC見積_03.10.1_工数内訳" xfId="385" xr:uid="{00000000-0005-0000-0000-00009E010000}"/>
    <cellStyle name="見積桁区切り_T社WRSサービス作業計画_020214_WRS新卒全体ｽｹｼﾞｭｰﾙ_WRS新卒全体ｽｹｼﾞｭｰﾙ_ソフトSS概算見積_030620_ソフトSS概算見積_030627_JITEC見積_03.9.28" xfId="386" xr:uid="{00000000-0005-0000-0000-00009F010000}"/>
    <cellStyle name="見積-桁区切り_T社WRSサービス作業計画_020214_WRS新卒全体ｽｹｼﾞｭｰﾙ_WRS新卒全体ｽｹｼﾞｭｰﾙ_ソフトSS概算見積_030620_ソフトSS概算見積_030627_JITEC見積_03.9.28" xfId="387" xr:uid="{00000000-0005-0000-0000-0000A0010000}"/>
    <cellStyle name="見積桁区切り_T社WRSサービス作業計画_020214_WRS新卒全体ｽｹｼﾞｭｰﾙ_WRS新卒全体ｽｹｼﾞｭｰﾙ_ソフトSS概算見積_030620_ソフトSS概算見積_030627_ソフトSS概算見積_030627" xfId="388" xr:uid="{00000000-0005-0000-0000-0000A1010000}"/>
    <cellStyle name="見積-桁区切り_T社WRSサービス作業計画_020214_WRS新卒全体ｽｹｼﾞｭｰﾙ_WRS新卒全体ｽｹｼﾞｭｰﾙ_ソフトSS概算見積_030620_ソフトSS概算見積_030627_ソフトSS概算見積_030627" xfId="389" xr:uid="{00000000-0005-0000-0000-0000A2010000}"/>
    <cellStyle name="見積桁区切り_T社WRSサービス作業計画_020214_WRS新卒全体ｽｹｼﾞｭｰﾙ_WRS新卒全体ｽｹｼﾞｭｰﾙ_ソフトSS概算見積_030620_ソフトSS概算見積_030627_開発見積" xfId="390" xr:uid="{00000000-0005-0000-0000-0000A3010000}"/>
    <cellStyle name="見積-桁区切り_T社WRSサービス作業計画_020214_WRS新卒全体ｽｹｼﾞｭｰﾙ_WRS新卒全体ｽｹｼﾞｭｰﾙ_ソフトSS概算見積_030620_ソフトSS概算見積_030627_開発見積" xfId="391" xr:uid="{00000000-0005-0000-0000-0000A4010000}"/>
    <cellStyle name="見積桁区切り_T社WRSサービス作業計画_020214_WRS新卒全体ｽｹｼﾞｭｰﾙ_WRS新卒全体ｽｹｼﾞｭｰﾙ_ソフトSS概算見積_030620_開発見積" xfId="392" xr:uid="{00000000-0005-0000-0000-0000A5010000}"/>
    <cellStyle name="見積-桁区切り_T社WRSサービス作業計画_020214_WRS新卒全体ｽｹｼﾞｭｰﾙ_WRS新卒全体ｽｹｼﾞｭｰﾙ_ソフトSS概算見積_030620_開発見積" xfId="393" xr:uid="{00000000-0005-0000-0000-0000A6010000}"/>
    <cellStyle name="見積桁区切り_T社WRSサービス作業計画_020214_WRS新卒全体ｽｹｼﾞｭｰﾙ_WRS新卒全体ｽｹｼﾞｭｰﾙ_ソフトSS概算見積_03062１営業修正" xfId="394" xr:uid="{00000000-0005-0000-0000-0000A7010000}"/>
    <cellStyle name="見積-桁区切り_T社WRSサービス作業計画_020214_WRS新卒全体ｽｹｼﾞｭｰﾙ_WRS新卒全体ｽｹｼﾞｭｰﾙ_ソフトSS概算見積_03062１営業修正" xfId="395" xr:uid="{00000000-0005-0000-0000-0000A8010000}"/>
    <cellStyle name="見積桁区切り_T社WRSサービス作業計画_020214_WRS新卒全体ｽｹｼﾞｭｰﾙ_WRS新卒全体ｽｹｼﾞｭｰﾙ_ソフトSS概算見積_03062１営業修正_＜3産2＞見積条件040127" xfId="396" xr:uid="{00000000-0005-0000-0000-0000A9010000}"/>
    <cellStyle name="見積-桁区切り_T社WRSサービス作業計画_020214_WRS新卒全体ｽｹｼﾞｭｰﾙ_WRS新卒全体ｽｹｼﾞｭｰﾙ_ソフトSS概算見積_03062１営業修正_＜3産2＞見積条件040127" xfId="397" xr:uid="{00000000-0005-0000-0000-0000AA010000}"/>
    <cellStyle name="見積桁区切り_T社WRSサービス作業計画_020214_WRS新卒全体ｽｹｼﾞｭｰﾙ_WRS新卒全体ｽｹｼﾞｭｰﾙ_ソフトSS概算見積_03062１営業修正_JITEC見積_03.10.1" xfId="398" xr:uid="{00000000-0005-0000-0000-0000AB010000}"/>
    <cellStyle name="見積-桁区切り_T社WRSサービス作業計画_020214_WRS新卒全体ｽｹｼﾞｭｰﾙ_WRS新卒全体ｽｹｼﾞｭｰﾙ_ソフトSS概算見積_03062１営業修正_JITEC見積_03.10.1" xfId="399" xr:uid="{00000000-0005-0000-0000-0000AC010000}"/>
    <cellStyle name="見積桁区切り_T社WRSサービス作業計画_020214_WRS新卒全体ｽｹｼﾞｭｰﾙ_WRS新卒全体ｽｹｼﾞｭｰﾙ_ソフトSS概算見積_03062１営業修正_JITEC見積_03.10.1_工数内訳" xfId="400" xr:uid="{00000000-0005-0000-0000-0000AD010000}"/>
    <cellStyle name="見積-桁区切り_T社WRSサービス作業計画_020214_WRS新卒全体ｽｹｼﾞｭｰﾙ_WRS新卒全体ｽｹｼﾞｭｰﾙ_ソフトSS概算見積_03062１営業修正_JITEC見積_03.10.1_工数内訳" xfId="401" xr:uid="{00000000-0005-0000-0000-0000AE010000}"/>
    <cellStyle name="見積桁区切り_T社WRSサービス作業計画_020214_WRS新卒全体ｽｹｼﾞｭｰﾙ_WRS新卒全体ｽｹｼﾞｭｰﾙ_ソフトSS概算見積_03062１営業修正_JITEC見積_03.9.28" xfId="402" xr:uid="{00000000-0005-0000-0000-0000AF010000}"/>
    <cellStyle name="見積-桁区切り_T社WRSサービス作業計画_020214_WRS新卒全体ｽｹｼﾞｭｰﾙ_WRS新卒全体ｽｹｼﾞｭｰﾙ_ソフトSS概算見積_03062１営業修正_JITEC見積_03.9.28" xfId="403" xr:uid="{00000000-0005-0000-0000-0000B0010000}"/>
    <cellStyle name="見積桁区切り_T社WRSサービス作業計画_020214_WRS新卒全体ｽｹｼﾞｭｰﾙ_WRS新卒全体ｽｹｼﾞｭｰﾙ_ソフトSS概算見積_03062１営業修正_ソフトSS概算見" xfId="404" xr:uid="{00000000-0005-0000-0000-0000B1010000}"/>
    <cellStyle name="見積-桁区切り_T社WRSサービス作業計画_020214_WRS新卒全体ｽｹｼﾞｭｰﾙ_WRS新卒全体ｽｹｼﾞｭｰﾙ_ソフトSS概算見積_03062１営業修正_ソフトSS概算見" xfId="405" xr:uid="{00000000-0005-0000-0000-0000B2010000}"/>
    <cellStyle name="見積桁区切り_T社WRSサービス作業計画_020214_WRS新卒全体ｽｹｼﾞｭｰﾙ_WRS新卒全体ｽｹｼﾞｭｰﾙ_ソフトSS概算見積_03062１営業修正_ソフトSS概算見_＜3産2＞見積条件040127" xfId="406" xr:uid="{00000000-0005-0000-0000-0000B3010000}"/>
    <cellStyle name="見積-桁区切り_T社WRSサービス作業計画_020214_WRS新卒全体ｽｹｼﾞｭｰﾙ_WRS新卒全体ｽｹｼﾞｭｰﾙ_ソフトSS概算見積_03062１営業修正_ソフトSS概算見_＜3産2＞見積条件040127" xfId="407" xr:uid="{00000000-0005-0000-0000-0000B4010000}"/>
    <cellStyle name="見積桁区切り_T社WRSサービス作業計画_020214_WRS新卒全体ｽｹｼﾞｭｰﾙ_WRS新卒全体ｽｹｼﾞｭｰﾙ_ソフトSS概算見積_03062１営業修正_ソフトSS概算見_JITEC見積_03.10.1" xfId="408" xr:uid="{00000000-0005-0000-0000-0000B5010000}"/>
    <cellStyle name="見積-桁区切り_T社WRSサービス作業計画_020214_WRS新卒全体ｽｹｼﾞｭｰﾙ_WRS新卒全体ｽｹｼﾞｭｰﾙ_ソフトSS概算見積_03062１営業修正_ソフトSS概算見_JITEC見積_03.10.1" xfId="409" xr:uid="{00000000-0005-0000-0000-0000B6010000}"/>
    <cellStyle name="見積桁区切り_T社WRSサービス作業計画_020214_WRS新卒全体ｽｹｼﾞｭｰﾙ_WRS新卒全体ｽｹｼﾞｭｰﾙ_ソフトSS概算見積_03062１営業修正_ソフトSS概算見_JITEC見積_03.10.1_工数内訳" xfId="410" xr:uid="{00000000-0005-0000-0000-0000B7010000}"/>
    <cellStyle name="見積-桁区切り_T社WRSサービス作業計画_020214_WRS新卒全体ｽｹｼﾞｭｰﾙ_WRS新卒全体ｽｹｼﾞｭｰﾙ_ソフトSS概算見積_03062１営業修正_ソフトSS概算見_JITEC見積_03.10.1_工数内訳" xfId="411" xr:uid="{00000000-0005-0000-0000-0000B8010000}"/>
    <cellStyle name="見積桁区切り_T社WRSサービス作業計画_020214_WRS新卒全体ｽｹｼﾞｭｰﾙ_WRS新卒全体ｽｹｼﾞｭｰﾙ_ソフトSS概算見積_03062１営業修正_ソフトSS概算見_JITEC見積_03.9.28" xfId="412" xr:uid="{00000000-0005-0000-0000-0000B9010000}"/>
    <cellStyle name="見積-桁区切り_T社WRSサービス作業計画_020214_WRS新卒全体ｽｹｼﾞｭｰﾙ_WRS新卒全体ｽｹｼﾞｭｰﾙ_ソフトSS概算見積_03062１営業修正_ソフトSS概算見_JITEC見積_03.9.28" xfId="413" xr:uid="{00000000-0005-0000-0000-0000BA010000}"/>
    <cellStyle name="見積桁区切り_T社WRSサービス作業計画_020214_WRS新卒全体ｽｹｼﾞｭｰﾙ_WRS新卒全体ｽｹｼﾞｭｰﾙ_ソフトSS概算見積_03062１営業修正_ソフトSS概算見_開発見積" xfId="414" xr:uid="{00000000-0005-0000-0000-0000BB010000}"/>
    <cellStyle name="見積-桁区切り_T社WRSサービス作業計画_020214_WRS新卒全体ｽｹｼﾞｭｰﾙ_WRS新卒全体ｽｹｼﾞｭｰﾙ_ソフトSS概算見積_03062１営業修正_ソフトSS概算見_開発見積" xfId="415" xr:uid="{00000000-0005-0000-0000-0000BC010000}"/>
    <cellStyle name="見積桁区切り_T社WRSサービス作業計画_020214_WRS新卒全体ｽｹｼﾞｭｰﾙ_WRS新卒全体ｽｹｼﾞｭｰﾙ_ソフトSS概算見積_03062１営業修正_開発見積" xfId="416" xr:uid="{00000000-0005-0000-0000-0000BD010000}"/>
    <cellStyle name="見積-桁区切り_T社WRSサービス作業計画_020214_WRS新卒全体ｽｹｼﾞｭｰﾙ_WRS新卒全体ｽｹｼﾞｭｰﾙ_ソフトSS概算見積_03062１営業修正_開発見積" xfId="417" xr:uid="{00000000-0005-0000-0000-0000BE010000}"/>
    <cellStyle name="見積桁区切り_T社WRSサービス作業計画_020214_WRS新卒全体ｽｹｼﾞｭｰﾙ_WRS新卒全体ｽｹｼﾞｭｰﾙ_ソフトSS概算見積_030627" xfId="418" xr:uid="{00000000-0005-0000-0000-0000BF010000}"/>
    <cellStyle name="見積-桁区切り_T社WRSサービス作業計画_020214_WRS新卒全体ｽｹｼﾞｭｰﾙ_WRS新卒全体ｽｹｼﾞｭｰﾙ_ソフトSS概算見積_030627" xfId="419" xr:uid="{00000000-0005-0000-0000-0000C0010000}"/>
    <cellStyle name="見積桁区切り_T社WRSサービス作業計画_020214_WRS新卒全体ｽｹｼﾞｭｰﾙ_WRS新卒全体ｽｹｼﾞｭｰﾙ_開発見積" xfId="420" xr:uid="{00000000-0005-0000-0000-0000C1010000}"/>
    <cellStyle name="見積-桁区切り_T社WRSサービス作業計画_020214_WRS新卒全体ｽｹｼﾞｭｰﾙ_WRS新卒全体ｽｹｼﾞｭｰﾙ_開発見積" xfId="421" xr:uid="{00000000-0005-0000-0000-0000C2010000}"/>
    <cellStyle name="見積桁区切り_T社WRSサービス作業計画_020214_WRS新卒全体ｽｹｼﾞｭｰﾙ_WRS新卒全体ｽｹｼﾞｭｰﾙ_自治体向けｻｲﾄ構築機能整理表_Ver2" xfId="422" xr:uid="{00000000-0005-0000-0000-0000C3010000}"/>
    <cellStyle name="見積-桁区切り_T社WRSサービス作業計画_020214_WRS新卒全体ｽｹｼﾞｭｰﾙ_WRS新卒全体ｽｹｼﾞｭｰﾙ_自治体向けｻｲﾄ構築機能整理表_Ver2" xfId="423" xr:uid="{00000000-0005-0000-0000-0000C4010000}"/>
    <cellStyle name="見積桁区切り_T社WRSサービス作業計画_020214_WRS新卒全体ｽｹｼﾞｭｰﾙ_WRS新卒全体ｽｹｼﾞｭｰﾙ_提示版" xfId="424" xr:uid="{00000000-0005-0000-0000-0000C5010000}"/>
    <cellStyle name="見積-桁区切り_T社WRSサービス作業計画_020214_WRS新卒全体ｽｹｼﾞｭｰﾙ_WRS新卒全体ｽｹｼﾞｭｰﾙ_提示版" xfId="425" xr:uid="{00000000-0005-0000-0000-0000C6010000}"/>
    <cellStyle name="見積桁区切り_T社WRSサービス作業計画_020214_WRS新卒全体ｽｹｼﾞｭｰﾙ_WRS新卒全体ｽｹｼﾞｭｰﾙ_提示版_＜3産2＞見積条件040127" xfId="426" xr:uid="{00000000-0005-0000-0000-0000C7010000}"/>
    <cellStyle name="見積-桁区切り_T社WRSサービス作業計画_020214_WRS新卒全体ｽｹｼﾞｭｰﾙ_WRS新卒全体ｽｹｼﾞｭｰﾙ_提示版_＜3産2＞見積条件040127" xfId="427" xr:uid="{00000000-0005-0000-0000-0000C8010000}"/>
    <cellStyle name="見積桁区切り_T社WRSサービス作業計画_020214_WRS新卒全体ｽｹｼﾞｭｰﾙ_WRS新卒全体ｽｹｼﾞｭｰﾙ_提示版_JITEC見積_03.10.1" xfId="428" xr:uid="{00000000-0005-0000-0000-0000C9010000}"/>
    <cellStyle name="見積-桁区切り_T社WRSサービス作業計画_020214_WRS新卒全体ｽｹｼﾞｭｰﾙ_WRS新卒全体ｽｹｼﾞｭｰﾙ_提示版_JITEC見積_03.10.1" xfId="429" xr:uid="{00000000-0005-0000-0000-0000CA010000}"/>
    <cellStyle name="見積桁区切り_T社WRSサービス作業計画_020214_WRS新卒全体ｽｹｼﾞｭｰﾙ_WRS新卒全体ｽｹｼﾞｭｰﾙ_提示版_JITEC見積_03.10.1_工数内訳" xfId="430" xr:uid="{00000000-0005-0000-0000-0000CB010000}"/>
    <cellStyle name="見積-桁区切り_T社WRSサービス作業計画_020214_WRS新卒全体ｽｹｼﾞｭｰﾙ_WRS新卒全体ｽｹｼﾞｭｰﾙ_提示版_JITEC見積_03.10.1_工数内訳" xfId="431" xr:uid="{00000000-0005-0000-0000-0000CC010000}"/>
    <cellStyle name="見積桁区切り_T社WRSサービス作業計画_020214_WRS新卒全体ｽｹｼﾞｭｰﾙ_WRS新卒全体ｽｹｼﾞｭｰﾙ_提示版_JITEC見積_03.9.28" xfId="432" xr:uid="{00000000-0005-0000-0000-0000CD010000}"/>
    <cellStyle name="見積-桁区切り_T社WRSサービス作業計画_020214_WRS新卒全体ｽｹｼﾞｭｰﾙ_WRS新卒全体ｽｹｼﾞｭｰﾙ_提示版_JITEC見積_03.9.28" xfId="433" xr:uid="{00000000-0005-0000-0000-0000CE010000}"/>
    <cellStyle name="見積桁区切り_T社WRSサービス作業計画_020214_WRS新卒全体ｽｹｼﾞｭｰﾙ_WRS新卒全体ｽｹｼﾞｭｰﾙ_提示版_ソフトSS概算見積_030620" xfId="434" xr:uid="{00000000-0005-0000-0000-0000CF010000}"/>
    <cellStyle name="見積-桁区切り_T社WRSサービス作業計画_020214_WRS新卒全体ｽｹｼﾞｭｰﾙ_WRS新卒全体ｽｹｼﾞｭｰﾙ_提示版_ソフトSS概算見積_030620" xfId="435" xr:uid="{00000000-0005-0000-0000-0000D0010000}"/>
    <cellStyle name="見積桁区切り_T社WRSサービス作業計画_020214_WRS新卒全体ｽｹｼﾞｭｰﾙ_WRS新卒全体ｽｹｼﾞｭｰﾙ_提示版_ソフトSS概算見積_030620_＜3産2＞見積条件040127" xfId="436" xr:uid="{00000000-0005-0000-0000-0000D1010000}"/>
    <cellStyle name="見積-桁区切り_T社WRSサービス作業計画_020214_WRS新卒全体ｽｹｼﾞｭｰﾙ_WRS新卒全体ｽｹｼﾞｭｰﾙ_提示版_ソフトSS概算見積_030620_＜3産2＞見積条件040127" xfId="437" xr:uid="{00000000-0005-0000-0000-0000D2010000}"/>
    <cellStyle name="見積桁区切り_T社WRSサービス作業計画_020214_WRS新卒全体ｽｹｼﾞｭｰﾙ_WRS新卒全体ｽｹｼﾞｭｰﾙ_提示版_ソフトSS概算見積_030620_1" xfId="438" xr:uid="{00000000-0005-0000-0000-0000D3010000}"/>
    <cellStyle name="見積-桁区切り_T社WRSサービス作業計画_020214_WRS新卒全体ｽｹｼﾞｭｰﾙ_WRS新卒全体ｽｹｼﾞｭｰﾙ_提示版_ソフトSS概算見積_030620_1" xfId="439" xr:uid="{00000000-0005-0000-0000-0000D4010000}"/>
    <cellStyle name="見積桁区切り_T社WRSサービス作業計画_020214_WRS新卒全体ｽｹｼﾞｭｰﾙ_WRS新卒全体ｽｹｼﾞｭｰﾙ_提示版_ソフトSS概算見積_030620_JITEC見積_03.10.1" xfId="440" xr:uid="{00000000-0005-0000-0000-0000D5010000}"/>
    <cellStyle name="見積-桁区切り_T社WRSサービス作業計画_020214_WRS新卒全体ｽｹｼﾞｭｰﾙ_WRS新卒全体ｽｹｼﾞｭｰﾙ_提示版_ソフトSS概算見積_030620_JITEC見積_03.10.1" xfId="441" xr:uid="{00000000-0005-0000-0000-0000D6010000}"/>
    <cellStyle name="見積桁区切り_T社WRSサービス作業計画_020214_WRS新卒全体ｽｹｼﾞｭｰﾙ_WRS新卒全体ｽｹｼﾞｭｰﾙ_提示版_ソフトSS概算見積_030620_JITEC見積_03.10.1_工数内訳" xfId="442" xr:uid="{00000000-0005-0000-0000-0000D7010000}"/>
    <cellStyle name="見積-桁区切り_T社WRSサービス作業計画_020214_WRS新卒全体ｽｹｼﾞｭｰﾙ_WRS新卒全体ｽｹｼﾞｭｰﾙ_提示版_ソフトSS概算見積_030620_JITEC見積_03.10.1_工数内訳" xfId="443" xr:uid="{00000000-0005-0000-0000-0000D8010000}"/>
    <cellStyle name="見積桁区切り_T社WRSサービス作業計画_020214_WRS新卒全体ｽｹｼﾞｭｰﾙ_WRS新卒全体ｽｹｼﾞｭｰﾙ_提示版_ソフトSS概算見積_030620_JITEC見積_03.9.28" xfId="444" xr:uid="{00000000-0005-0000-0000-0000D9010000}"/>
    <cellStyle name="見積-桁区切り_T社WRSサービス作業計画_020214_WRS新卒全体ｽｹｼﾞｭｰﾙ_WRS新卒全体ｽｹｼﾞｭｰﾙ_提示版_ソフトSS概算見積_030620_JITEC見積_03.9.28" xfId="445" xr:uid="{00000000-0005-0000-0000-0000DA010000}"/>
    <cellStyle name="見積桁区切り_T社WRSサービス作業計画_020214_WRS新卒全体ｽｹｼﾞｭｰﾙ_WRS新卒全体ｽｹｼﾞｭｰﾙ_提示版_ソフトSS概算見積_030620_ソフトSS概算見" xfId="446" xr:uid="{00000000-0005-0000-0000-0000DB010000}"/>
    <cellStyle name="見積-桁区切り_T社WRSサービス作業計画_020214_WRS新卒全体ｽｹｼﾞｭｰﾙ_WRS新卒全体ｽｹｼﾞｭｰﾙ_提示版_ソフトSS概算見積_030620_ソフトSS概算見" xfId="447" xr:uid="{00000000-0005-0000-0000-0000DC010000}"/>
    <cellStyle name="見積桁区切り_T社WRSサービス作業計画_020214_WRS新卒全体ｽｹｼﾞｭｰﾙ_WRS新卒全体ｽｹｼﾞｭｰﾙ_提示版_ソフトSS概算見積_030620_ソフトSS概算見_＜3産2＞見積条件040127" xfId="448" xr:uid="{00000000-0005-0000-0000-0000DD010000}"/>
    <cellStyle name="見積-桁区切り_T社WRSサービス作業計画_020214_WRS新卒全体ｽｹｼﾞｭｰﾙ_WRS新卒全体ｽｹｼﾞｭｰﾙ_提示版_ソフトSS概算見積_030620_ソフトSS概算見_＜3産2＞見積条件040127" xfId="449" xr:uid="{00000000-0005-0000-0000-0000DE010000}"/>
    <cellStyle name="見積桁区切り_T社WRSサービス作業計画_020214_WRS新卒全体ｽｹｼﾞｭｰﾙ_WRS新卒全体ｽｹｼﾞｭｰﾙ_提示版_ソフトSS概算見積_030620_ソフトSS概算見_JITEC見積_03.10.1" xfId="450" xr:uid="{00000000-0005-0000-0000-0000DF010000}"/>
    <cellStyle name="見積-桁区切り_T社WRSサービス作業計画_020214_WRS新卒全体ｽｹｼﾞｭｰﾙ_WRS新卒全体ｽｹｼﾞｭｰﾙ_提示版_ソフトSS概算見積_030620_ソフトSS概算見_JITEC見積_03.10.1" xfId="451" xr:uid="{00000000-0005-0000-0000-0000E0010000}"/>
    <cellStyle name="見積桁区切り_T社WRSサービス作業計画_020214_WRS新卒全体ｽｹｼﾞｭｰﾙ_WRS新卒全体ｽｹｼﾞｭｰﾙ_提示版_ソフトSS概算見積_030620_ソフトSS概算見_JITEC見積_03.10.1_工数内訳" xfId="452" xr:uid="{00000000-0005-0000-0000-0000E1010000}"/>
    <cellStyle name="見積-桁区切り_T社WRSサービス作業計画_020214_WRS新卒全体ｽｹｼﾞｭｰﾙ_WRS新卒全体ｽｹｼﾞｭｰﾙ_提示版_ソフトSS概算見積_030620_ソフトSS概算見_JITEC見積_03.10.1_工数内訳" xfId="453" xr:uid="{00000000-0005-0000-0000-0000E2010000}"/>
    <cellStyle name="見積桁区切り_T社WRSサービス作業計画_020214_WRS新卒全体ｽｹｼﾞｭｰﾙ_WRS新卒全体ｽｹｼﾞｭｰﾙ_提示版_ソフトSS概算見積_030620_ソフトSS概算見_JITEC見積_03.9.28" xfId="454" xr:uid="{00000000-0005-0000-0000-0000E3010000}"/>
    <cellStyle name="見積-桁区切り_T社WRSサービス作業計画_020214_WRS新卒全体ｽｹｼﾞｭｰﾙ_WRS新卒全体ｽｹｼﾞｭｰﾙ_提示版_ソフトSS概算見積_030620_ソフトSS概算見_JITEC見積_03.9.28" xfId="455" xr:uid="{00000000-0005-0000-0000-0000E4010000}"/>
    <cellStyle name="見積桁区切り_T社WRSサービス作業計画_020214_WRS新卒全体ｽｹｼﾞｭｰﾙ_WRS新卒全体ｽｹｼﾞｭｰﾙ_提示版_ソフトSS概算見積_030620_ソフトSS概算見_開発見積" xfId="456" xr:uid="{00000000-0005-0000-0000-0000E5010000}"/>
    <cellStyle name="見積-桁区切り_T社WRSサービス作業計画_020214_WRS新卒全体ｽｹｼﾞｭｰﾙ_WRS新卒全体ｽｹｼﾞｭｰﾙ_提示版_ソフトSS概算見積_030620_ソフトSS概算見_開発見積" xfId="457" xr:uid="{00000000-0005-0000-0000-0000E6010000}"/>
    <cellStyle name="見積桁区切り_T社WRSサービス作業計画_020214_WRS新卒全体ｽｹｼﾞｭｰﾙ_WRS新卒全体ｽｹｼﾞｭｰﾙ_提示版_ソフトSS概算見積_030620_ソフトSS概算見積_030620" xfId="458" xr:uid="{00000000-0005-0000-0000-0000E7010000}"/>
    <cellStyle name="見積-桁区切り_T社WRSサービス作業計画_020214_WRS新卒全体ｽｹｼﾞｭｰﾙ_WRS新卒全体ｽｹｼﾞｭｰﾙ_提示版_ソフトSS概算見積_030620_ソフトSS概算見積_030620" xfId="459" xr:uid="{00000000-0005-0000-0000-0000E8010000}"/>
    <cellStyle name="見積桁区切り_T社WRSサービス作業計画_020214_WRS新卒全体ｽｹｼﾞｭｰﾙ_WRS新卒全体ｽｹｼﾞｭｰﾙ_提示版_ソフトSS概算見積_030620_ソフトSS概算見積_030627" xfId="460" xr:uid="{00000000-0005-0000-0000-0000E9010000}"/>
    <cellStyle name="見積-桁区切り_T社WRSサービス作業計画_020214_WRS新卒全体ｽｹｼﾞｭｰﾙ_WRS新卒全体ｽｹｼﾞｭｰﾙ_提示版_ソフトSS概算見積_030620_ソフトSS概算見積_030627" xfId="461" xr:uid="{00000000-0005-0000-0000-0000EA010000}"/>
    <cellStyle name="見積桁区切り_T社WRSサービス作業計画_020214_WRS新卒全体ｽｹｼﾞｭｰﾙ_WRS新卒全体ｽｹｼﾞｭｰﾙ_提示版_ソフトSS概算見積_030620_ソフトSS概算見積_030627_＜3産2＞見積条件040127" xfId="462" xr:uid="{00000000-0005-0000-0000-0000EB010000}"/>
    <cellStyle name="見積-桁区切り_T社WRSサービス作業計画_020214_WRS新卒全体ｽｹｼﾞｭｰﾙ_WRS新卒全体ｽｹｼﾞｭｰﾙ_提示版_ソフトSS概算見積_030620_ソフトSS概算見積_030627_＜3産2＞見積条件040127" xfId="463" xr:uid="{00000000-0005-0000-0000-0000EC010000}"/>
    <cellStyle name="見積桁区切り_T社WRSサービス作業計画_020214_WRS新卒全体ｽｹｼﾞｭｰﾙ_WRS新卒全体ｽｹｼﾞｭｰﾙ_提示版_ソフトSS概算見積_030620_ソフトSS概算見積_030627_1" xfId="464" xr:uid="{00000000-0005-0000-0000-0000ED010000}"/>
    <cellStyle name="見積-桁区切り_T社WRSサービス作業計画_020214_WRS新卒全体ｽｹｼﾞｭｰﾙ_WRS新卒全体ｽｹｼﾞｭｰﾙ_提示版_ソフトSS概算見積_030620_ソフトSS概算見積_030627_1" xfId="465" xr:uid="{00000000-0005-0000-0000-0000EE010000}"/>
    <cellStyle name="見積桁区切り_T社WRSサービス作業計画_020214_WRS新卒全体ｽｹｼﾞｭｰﾙ_WRS新卒全体ｽｹｼﾞｭｰﾙ_提示版_ソフトSS概算見積_030620_ソフトSS概算見積_030627_JITEC見積_03.10.1" xfId="466" xr:uid="{00000000-0005-0000-0000-0000EF010000}"/>
    <cellStyle name="見積-桁区切り_T社WRSサービス作業計画_020214_WRS新卒全体ｽｹｼﾞｭｰﾙ_WRS新卒全体ｽｹｼﾞｭｰﾙ_提示版_ソフトSS概算見積_030620_ソフトSS概算見積_030627_JITEC見積_03.10.1" xfId="467" xr:uid="{00000000-0005-0000-0000-0000F0010000}"/>
    <cellStyle name="見積桁区切り_T社WRSサービス作業計画_020214_WRS新卒全体ｽｹｼﾞｭｰﾙ_WRS新卒全体ｽｹｼﾞｭｰﾙ_提示版_ソフトSS概算見積_030620_ソフトSS概算見積_030627_JITEC見積_03.10.1_工数内訳" xfId="468" xr:uid="{00000000-0005-0000-0000-0000F1010000}"/>
    <cellStyle name="見積-桁区切り_T社WRSサービス作業計画_020214_WRS新卒全体ｽｹｼﾞｭｰﾙ_WRS新卒全体ｽｹｼﾞｭｰﾙ_提示版_ソフトSS概算見積_030620_ソフトSS概算見積_030627_JITEC見積_03.10.1_工数内訳" xfId="469" xr:uid="{00000000-0005-0000-0000-0000F2010000}"/>
    <cellStyle name="見積桁区切り_T社WRSサービス作業計画_020214_WRS新卒全体ｽｹｼﾞｭｰﾙ_WRS新卒全体ｽｹｼﾞｭｰﾙ_提示版_ソフトSS概算見積_030620_ソフトSS概算見積_030627_JITEC見積_03.9.28" xfId="470" xr:uid="{00000000-0005-0000-0000-0000F3010000}"/>
    <cellStyle name="見積-桁区切り_T社WRSサービス作業計画_020214_WRS新卒全体ｽｹｼﾞｭｰﾙ_WRS新卒全体ｽｹｼﾞｭｰﾙ_提示版_ソフトSS概算見積_030620_ソフトSS概算見積_030627_JITEC見積_03.9.28" xfId="471" xr:uid="{00000000-0005-0000-0000-0000F4010000}"/>
    <cellStyle name="見積桁区切り_T社WRSサービス作業計画_020214_WRS新卒全体ｽｹｼﾞｭｰﾙ_WRS新卒全体ｽｹｼﾞｭｰﾙ_提示版_ソフトSS概算見積_030620_ソフトSS概算見積_030627_ソフトSS概算見積_030627" xfId="472" xr:uid="{00000000-0005-0000-0000-0000F5010000}"/>
    <cellStyle name="見積-桁区切り_T社WRSサービス作業計画_020214_WRS新卒全体ｽｹｼﾞｭｰﾙ_WRS新卒全体ｽｹｼﾞｭｰﾙ_提示版_ソフトSS概算見積_030620_ソフトSS概算見積_030627_ソフトSS概算見積_030627" xfId="473" xr:uid="{00000000-0005-0000-0000-0000F6010000}"/>
    <cellStyle name="見積桁区切り_T社WRSサービス作業計画_020214_WRS新卒全体ｽｹｼﾞｭｰﾙ_WRS新卒全体ｽｹｼﾞｭｰﾙ_提示版_ソフトSS概算見積_030620_ソフトSS概算見積_030627_開発見積" xfId="474" xr:uid="{00000000-0005-0000-0000-0000F7010000}"/>
    <cellStyle name="見積-桁区切り_T社WRSサービス作業計画_020214_WRS新卒全体ｽｹｼﾞｭｰﾙ_WRS新卒全体ｽｹｼﾞｭｰﾙ_提示版_ソフトSS概算見積_030620_ソフトSS概算見積_030627_開発見積" xfId="475" xr:uid="{00000000-0005-0000-0000-0000F8010000}"/>
    <cellStyle name="見積桁区切り_T社WRSサービス作業計画_020214_WRS新卒全体ｽｹｼﾞｭｰﾙ_WRS新卒全体ｽｹｼﾞｭｰﾙ_提示版_ソフトSS概算見積_030620_開発見積" xfId="476" xr:uid="{00000000-0005-0000-0000-0000F9010000}"/>
    <cellStyle name="見積-桁区切り_T社WRSサービス作業計画_020214_WRS新卒全体ｽｹｼﾞｭｰﾙ_WRS新卒全体ｽｹｼﾞｭｰﾙ_提示版_ソフトSS概算見積_030620_開発見積" xfId="477" xr:uid="{00000000-0005-0000-0000-0000FA010000}"/>
    <cellStyle name="見積桁区切り_T社WRSサービス作業計画_020214_WRS新卒全体ｽｹｼﾞｭｰﾙ_WRS新卒全体ｽｹｼﾞｭｰﾙ_提示版_ソフトSS概算見積_03062１営業修正" xfId="478" xr:uid="{00000000-0005-0000-0000-0000FB010000}"/>
    <cellStyle name="見積-桁区切り_T社WRSサービス作業計画_020214_WRS新卒全体ｽｹｼﾞｭｰﾙ_WRS新卒全体ｽｹｼﾞｭｰﾙ_提示版_ソフトSS概算見積_03062１営業修正" xfId="479" xr:uid="{00000000-0005-0000-0000-0000FC010000}"/>
    <cellStyle name="見積桁区切り_T社WRSサービス作業計画_020214_WRS新卒全体ｽｹｼﾞｭｰﾙ_WRS新卒全体ｽｹｼﾞｭｰﾙ_提示版_ソフトSS概算見積_03062１営業修正_＜3産2＞見積条件040127" xfId="480" xr:uid="{00000000-0005-0000-0000-0000FD010000}"/>
    <cellStyle name="見積-桁区切り_T社WRSサービス作業計画_020214_WRS新卒全体ｽｹｼﾞｭｰﾙ_WRS新卒全体ｽｹｼﾞｭｰﾙ_提示版_ソフトSS概算見積_03062１営業修正_＜3産2＞見積条件040127" xfId="481" xr:uid="{00000000-0005-0000-0000-0000FE010000}"/>
    <cellStyle name="見積桁区切り_T社WRSサービス作業計画_020214_WRS新卒全体ｽｹｼﾞｭｰﾙ_WRS新卒全体ｽｹｼﾞｭｰﾙ_提示版_ソフトSS概算見積_03062１営業修正_JITEC見積_03.10.1" xfId="482" xr:uid="{00000000-0005-0000-0000-0000FF010000}"/>
    <cellStyle name="見積-桁区切り_T社WRSサービス作業計画_020214_WRS新卒全体ｽｹｼﾞｭｰﾙ_WRS新卒全体ｽｹｼﾞｭｰﾙ_提示版_ソフトSS概算見積_03062１営業修正_JITEC見積_03.10.1" xfId="483" xr:uid="{00000000-0005-0000-0000-000000020000}"/>
    <cellStyle name="見積桁区切り_T社WRSサービス作業計画_020214_WRS新卒全体ｽｹｼﾞｭｰﾙ_WRS新卒全体ｽｹｼﾞｭｰﾙ_提示版_ソフトSS概算見積_03062１営業修正_JITEC見積_03.10.1_工数内訳" xfId="484" xr:uid="{00000000-0005-0000-0000-000001020000}"/>
    <cellStyle name="見積-桁区切り_T社WRSサービス作業計画_020214_WRS新卒全体ｽｹｼﾞｭｰﾙ_WRS新卒全体ｽｹｼﾞｭｰﾙ_提示版_ソフトSS概算見積_03062１営業修正_JITEC見積_03.10.1_工数内訳" xfId="485" xr:uid="{00000000-0005-0000-0000-000002020000}"/>
    <cellStyle name="見積桁区切り_T社WRSサービス作業計画_020214_WRS新卒全体ｽｹｼﾞｭｰﾙ_WRS新卒全体ｽｹｼﾞｭｰﾙ_提示版_ソフトSS概算見積_03062１営業修正_JITEC見積_03.9.28" xfId="486" xr:uid="{00000000-0005-0000-0000-000003020000}"/>
    <cellStyle name="見積-桁区切り_T社WRSサービス作業計画_020214_WRS新卒全体ｽｹｼﾞｭｰﾙ_WRS新卒全体ｽｹｼﾞｭｰﾙ_提示版_ソフトSS概算見積_03062１営業修正_JITEC見積_03.9.28" xfId="487" xr:uid="{00000000-0005-0000-0000-000004020000}"/>
    <cellStyle name="見積桁区切り_T社WRSサービス作業計画_020214_WRS新卒全体ｽｹｼﾞｭｰﾙ_WRS新卒全体ｽｹｼﾞｭｰﾙ_提示版_ソフトSS概算見積_03062１営業修正_ソフトSS概算見" xfId="488" xr:uid="{00000000-0005-0000-0000-000005020000}"/>
    <cellStyle name="見積-桁区切り_T社WRSサービス作業計画_020214_WRS新卒全体ｽｹｼﾞｭｰﾙ_WRS新卒全体ｽｹｼﾞｭｰﾙ_提示版_ソフトSS概算見積_03062１営業修正_ソフトSS概算見" xfId="489" xr:uid="{00000000-0005-0000-0000-000006020000}"/>
    <cellStyle name="見積桁区切り_T社WRSサービス作業計画_020214_WRS新卒全体ｽｹｼﾞｭｰﾙ_WRS新卒全体ｽｹｼﾞｭｰﾙ_提示版_ソフトSS概算見積_03062１営業修正_ソフトSS概算見_＜3産2＞見積条件040127" xfId="490" xr:uid="{00000000-0005-0000-0000-000007020000}"/>
    <cellStyle name="見積-桁区切り_T社WRSサービス作業計画_020214_WRS新卒全体ｽｹｼﾞｭｰﾙ_WRS新卒全体ｽｹｼﾞｭｰﾙ_提示版_ソフトSS概算見積_03062１営業修正_ソフトSS概算見_＜3産2＞見積条件040127" xfId="491" xr:uid="{00000000-0005-0000-0000-000008020000}"/>
    <cellStyle name="見積桁区切り_T社WRSサービス作業計画_020214_WRS新卒全体ｽｹｼﾞｭｰﾙ_WRS新卒全体ｽｹｼﾞｭｰﾙ_提示版_ソフトSS概算見積_03062１営業修正_ソフトSS概算見_JITEC見積_03.10.1" xfId="492" xr:uid="{00000000-0005-0000-0000-000009020000}"/>
    <cellStyle name="見積-桁区切り_T社WRSサービス作業計画_020214_WRS新卒全体ｽｹｼﾞｭｰﾙ_WRS新卒全体ｽｹｼﾞｭｰﾙ_提示版_ソフトSS概算見積_03062１営業修正_ソフトSS概算見_JITEC見積_03.10.1" xfId="493" xr:uid="{00000000-0005-0000-0000-00000A020000}"/>
    <cellStyle name="見積桁区切り_T社WRSサービス作業計画_020214_WRS新卒全体ｽｹｼﾞｭｰﾙ_WRS新卒全体ｽｹｼﾞｭｰﾙ_提示版_ソフトSS概算見積_03062１営業修正_ソフトSS概算見_JITEC見積_03.10.1_工数内訳" xfId="494" xr:uid="{00000000-0005-0000-0000-00000B020000}"/>
    <cellStyle name="見積-桁区切り_T社WRSサービス作業計画_020214_WRS新卒全体ｽｹｼﾞｭｰﾙ_WRS新卒全体ｽｹｼﾞｭｰﾙ_提示版_ソフトSS概算見積_03062１営業修正_ソフトSS概算見_JITEC見積_03.10.1_工数内訳" xfId="495" xr:uid="{00000000-0005-0000-0000-00000C020000}"/>
    <cellStyle name="見積桁区切り_T社WRSサービス作業計画_020214_WRS新卒全体ｽｹｼﾞｭｰﾙ_WRS新卒全体ｽｹｼﾞｭｰﾙ_提示版_ソフトSS概算見積_03062１営業修正_ソフトSS概算見_JITEC見積_03.9.28" xfId="496" xr:uid="{00000000-0005-0000-0000-00000D020000}"/>
    <cellStyle name="見積-桁区切り_T社WRSサービス作業計画_020214_WRS新卒全体ｽｹｼﾞｭｰﾙ_WRS新卒全体ｽｹｼﾞｭｰﾙ_提示版_ソフトSS概算見積_03062１営業修正_ソフトSS概算見_JITEC見積_03.9.28" xfId="497" xr:uid="{00000000-0005-0000-0000-00000E020000}"/>
    <cellStyle name="見積桁区切り_T社WRSサービス作業計画_020214_WRS新卒全体ｽｹｼﾞｭｰﾙ_WRS新卒全体ｽｹｼﾞｭｰﾙ_提示版_ソフトSS概算見積_03062１営業修正_ソフトSS概算見_開発見積" xfId="498" xr:uid="{00000000-0005-0000-0000-00000F020000}"/>
    <cellStyle name="見積-桁区切り_T社WRSサービス作業計画_020214_WRS新卒全体ｽｹｼﾞｭｰﾙ_WRS新卒全体ｽｹｼﾞｭｰﾙ_提示版_ソフトSS概算見積_03062１営業修正_ソフトSS概算見_開発見積" xfId="499" xr:uid="{00000000-0005-0000-0000-000010020000}"/>
    <cellStyle name="見積桁区切り_T社WRSサービス作業計画_020214_WRS新卒全体ｽｹｼﾞｭｰﾙ_WRS新卒全体ｽｹｼﾞｭｰﾙ_提示版_ソフトSS概算見積_03062１営業修正_開発見積" xfId="500" xr:uid="{00000000-0005-0000-0000-000011020000}"/>
    <cellStyle name="見積-桁区切り_T社WRSサービス作業計画_020214_WRS新卒全体ｽｹｼﾞｭｰﾙ_WRS新卒全体ｽｹｼﾞｭｰﾙ_提示版_ソフトSS概算見積_03062１営業修正_開発見積" xfId="501" xr:uid="{00000000-0005-0000-0000-000012020000}"/>
    <cellStyle name="見積桁区切り_T社WRSサービス作業計画_020214_WRS新卒全体ｽｹｼﾞｭｰﾙ_WRS新卒全体ｽｹｼﾞｭｰﾙ_提示版_ソフトSS概算見積_030627" xfId="502" xr:uid="{00000000-0005-0000-0000-000013020000}"/>
    <cellStyle name="見積-桁区切り_T社WRSサービス作業計画_020214_WRS新卒全体ｽｹｼﾞｭｰﾙ_WRS新卒全体ｽｹｼﾞｭｰﾙ_提示版_ソフトSS概算見積_030627" xfId="503" xr:uid="{00000000-0005-0000-0000-000014020000}"/>
    <cellStyle name="見積桁区切り_T社WRSサービス作業計画_020214_WRS新卒全体ｽｹｼﾞｭｰﾙ_WRS新卒全体ｽｹｼﾞｭｰﾙ_提示版_開発見積" xfId="504" xr:uid="{00000000-0005-0000-0000-000015020000}"/>
    <cellStyle name="見積-桁区切り_T社WRSサービス作業計画_020214_WRS新卒全体ｽｹｼﾞｭｰﾙ_WRS新卒全体ｽｹｼﾞｭｰﾙ_提示版_開発見積" xfId="505" xr:uid="{00000000-0005-0000-0000-000016020000}"/>
    <cellStyle name="見積桁区切り_T社WRSサービス作業計画_020214_WRS新卒全体ｽｹｼﾞｭｰﾙ_WRS新卒全体ｽｹｼﾞｭｰﾙ_提示版_自治体向けｻｲﾄ構築機能整理表_Ver2" xfId="506" xr:uid="{00000000-0005-0000-0000-000017020000}"/>
    <cellStyle name="見積-桁区切り_T社WRSサービス作業計画_020214_WRS新卒全体ｽｹｼﾞｭｰﾙ_WRS新卒全体ｽｹｼﾞｭｰﾙ_提示版_自治体向けｻｲﾄ構築機能整理表_Ver2" xfId="507" xr:uid="{00000000-0005-0000-0000-000018020000}"/>
    <cellStyle name="見積桁区切り_T社WRSサービス作業計画_020214_WRS新卒全体ｽｹｼﾞｭｰﾙ_ソフトSS概算見積_030620" xfId="508" xr:uid="{00000000-0005-0000-0000-000019020000}"/>
    <cellStyle name="見積-桁区切り_T社WRSサービス作業計画_020214_WRS新卒全体ｽｹｼﾞｭｰﾙ_ソフトSS概算見積_030620" xfId="509" xr:uid="{00000000-0005-0000-0000-00001A020000}"/>
    <cellStyle name="見積桁区切り_T社WRSサービス作業計画_020214_WRS新卒全体ｽｹｼﾞｭｰﾙ_ソフトSS概算見積_030620_＜3産2＞見積条件040127" xfId="510" xr:uid="{00000000-0005-0000-0000-00001B020000}"/>
    <cellStyle name="見積-桁区切り_T社WRSサービス作業計画_020214_WRS新卒全体ｽｹｼﾞｭｰﾙ_ソフトSS概算見積_030620_＜3産2＞見積条件040127" xfId="511" xr:uid="{00000000-0005-0000-0000-00001C020000}"/>
    <cellStyle name="見積桁区切り_T社WRSサービス作業計画_020214_WRS新卒全体ｽｹｼﾞｭｰﾙ_ソフトSS概算見積_030620_1" xfId="512" xr:uid="{00000000-0005-0000-0000-00001D020000}"/>
    <cellStyle name="見積-桁区切り_T社WRSサービス作業計画_020214_WRS新卒全体ｽｹｼﾞｭｰﾙ_ソフトSS概算見積_030620_1" xfId="513" xr:uid="{00000000-0005-0000-0000-00001E020000}"/>
    <cellStyle name="見積桁区切り_T社WRSサービス作業計画_020214_WRS新卒全体ｽｹｼﾞｭｰﾙ_ソフトSS概算見積_030620_JITEC見積_03.10.1" xfId="514" xr:uid="{00000000-0005-0000-0000-00001F020000}"/>
    <cellStyle name="見積-桁区切り_T社WRSサービス作業計画_020214_WRS新卒全体ｽｹｼﾞｭｰﾙ_ソフトSS概算見積_030620_JITEC見積_03.10.1" xfId="515" xr:uid="{00000000-0005-0000-0000-000020020000}"/>
    <cellStyle name="見積桁区切り_T社WRSサービス作業計画_020214_WRS新卒全体ｽｹｼﾞｭｰﾙ_ソフトSS概算見積_030620_JITEC見積_03.10.1_工数内訳" xfId="516" xr:uid="{00000000-0005-0000-0000-000021020000}"/>
    <cellStyle name="見積-桁区切り_T社WRSサービス作業計画_020214_WRS新卒全体ｽｹｼﾞｭｰﾙ_ソフトSS概算見積_030620_JITEC見積_03.10.1_工数内訳" xfId="517" xr:uid="{00000000-0005-0000-0000-000022020000}"/>
    <cellStyle name="見積桁区切り_T社WRSサービス作業計画_020214_WRS新卒全体ｽｹｼﾞｭｰﾙ_ソフトSS概算見積_030620_JITEC見積_03.9.28" xfId="518" xr:uid="{00000000-0005-0000-0000-000023020000}"/>
    <cellStyle name="見積-桁区切り_T社WRSサービス作業計画_020214_WRS新卒全体ｽｹｼﾞｭｰﾙ_ソフトSS概算見積_030620_JITEC見積_03.9.28" xfId="519" xr:uid="{00000000-0005-0000-0000-000024020000}"/>
    <cellStyle name="見積桁区切り_T社WRSサービス作業計画_020214_WRS新卒全体ｽｹｼﾞｭｰﾙ_ソフトSS概算見積_030620_ソフトSS概算見" xfId="520" xr:uid="{00000000-0005-0000-0000-000025020000}"/>
    <cellStyle name="見積-桁区切り_T社WRSサービス作業計画_020214_WRS新卒全体ｽｹｼﾞｭｰﾙ_ソフトSS概算見積_030620_ソフトSS概算見" xfId="521" xr:uid="{00000000-0005-0000-0000-000026020000}"/>
    <cellStyle name="見積桁区切り_T社WRSサービス作業計画_020214_WRS新卒全体ｽｹｼﾞｭｰﾙ_ソフトSS概算見積_030620_ソフトSS概算見_＜3産2＞見積条件040127" xfId="522" xr:uid="{00000000-0005-0000-0000-000027020000}"/>
    <cellStyle name="見積-桁区切り_T社WRSサービス作業計画_020214_WRS新卒全体ｽｹｼﾞｭｰﾙ_ソフトSS概算見積_030620_ソフトSS概算見_＜3産2＞見積条件040127" xfId="523" xr:uid="{00000000-0005-0000-0000-000028020000}"/>
    <cellStyle name="見積桁区切り_T社WRSサービス作業計画_020214_WRS新卒全体ｽｹｼﾞｭｰﾙ_ソフトSS概算見積_030620_ソフトSS概算見_JITEC見積_03.10.1" xfId="524" xr:uid="{00000000-0005-0000-0000-000029020000}"/>
    <cellStyle name="見積-桁区切り_T社WRSサービス作業計画_020214_WRS新卒全体ｽｹｼﾞｭｰﾙ_ソフトSS概算見積_030620_ソフトSS概算見_JITEC見積_03.10.1" xfId="525" xr:uid="{00000000-0005-0000-0000-00002A020000}"/>
    <cellStyle name="見積桁区切り_T社WRSサービス作業計画_020214_WRS新卒全体ｽｹｼﾞｭｰﾙ_ソフトSS概算見積_030620_ソフトSS概算見_JITEC見積_03.10.1_工数内訳" xfId="526" xr:uid="{00000000-0005-0000-0000-00002B020000}"/>
    <cellStyle name="見積-桁区切り_T社WRSサービス作業計画_020214_WRS新卒全体ｽｹｼﾞｭｰﾙ_ソフトSS概算見積_030620_ソフトSS概算見_JITEC見積_03.10.1_工数内訳" xfId="527" xr:uid="{00000000-0005-0000-0000-00002C020000}"/>
    <cellStyle name="見積桁区切り_T社WRSサービス作業計画_020214_WRS新卒全体ｽｹｼﾞｭｰﾙ_ソフトSS概算見積_030620_ソフトSS概算見_JITEC見積_03.9.28" xfId="528" xr:uid="{00000000-0005-0000-0000-00002D020000}"/>
    <cellStyle name="見積-桁区切り_T社WRSサービス作業計画_020214_WRS新卒全体ｽｹｼﾞｭｰﾙ_ソフトSS概算見積_030620_ソフトSS概算見_JITEC見積_03.9.28" xfId="529" xr:uid="{00000000-0005-0000-0000-00002E020000}"/>
    <cellStyle name="見積桁区切り_T社WRSサービス作業計画_020214_WRS新卒全体ｽｹｼﾞｭｰﾙ_ソフトSS概算見積_030620_ソフトSS概算見_開発見積" xfId="530" xr:uid="{00000000-0005-0000-0000-00002F020000}"/>
    <cellStyle name="見積-桁区切り_T社WRSサービス作業計画_020214_WRS新卒全体ｽｹｼﾞｭｰﾙ_ソフトSS概算見積_030620_ソフトSS概算見_開発見積" xfId="531" xr:uid="{00000000-0005-0000-0000-000030020000}"/>
    <cellStyle name="見積桁区切り_T社WRSサービス作業計画_020214_WRS新卒全体ｽｹｼﾞｭｰﾙ_ソフトSS概算見積_030620_ソフトSS概算見積_030620" xfId="532" xr:uid="{00000000-0005-0000-0000-000031020000}"/>
    <cellStyle name="見積-桁区切り_T社WRSサービス作業計画_020214_WRS新卒全体ｽｹｼﾞｭｰﾙ_ソフトSS概算見積_030620_ソフトSS概算見積_030620" xfId="533" xr:uid="{00000000-0005-0000-0000-000032020000}"/>
    <cellStyle name="見積桁区切り_T社WRSサービス作業計画_020214_WRS新卒全体ｽｹｼﾞｭｰﾙ_ソフトSS概算見積_030620_ソフトSS概算見積_030627" xfId="534" xr:uid="{00000000-0005-0000-0000-000033020000}"/>
    <cellStyle name="見積-桁区切り_T社WRSサービス作業計画_020214_WRS新卒全体ｽｹｼﾞｭｰﾙ_ソフトSS概算見積_030620_ソフトSS概算見積_030627" xfId="535" xr:uid="{00000000-0005-0000-0000-000034020000}"/>
    <cellStyle name="見積桁区切り_T社WRSサービス作業計画_020214_WRS新卒全体ｽｹｼﾞｭｰﾙ_ソフトSS概算見積_030620_ソフトSS概算見積_030627_＜3産2＞見積条件040127" xfId="536" xr:uid="{00000000-0005-0000-0000-000035020000}"/>
    <cellStyle name="見積-桁区切り_T社WRSサービス作業計画_020214_WRS新卒全体ｽｹｼﾞｭｰﾙ_ソフトSS概算見積_030620_ソフトSS概算見積_030627_＜3産2＞見積条件040127" xfId="537" xr:uid="{00000000-0005-0000-0000-000036020000}"/>
    <cellStyle name="見積桁区切り_T社WRSサービス作業計画_020214_WRS新卒全体ｽｹｼﾞｭｰﾙ_ソフトSS概算見積_030620_ソフトSS概算見積_030627_1" xfId="538" xr:uid="{00000000-0005-0000-0000-000037020000}"/>
    <cellStyle name="見積-桁区切り_T社WRSサービス作業計画_020214_WRS新卒全体ｽｹｼﾞｭｰﾙ_ソフトSS概算見積_030620_ソフトSS概算見積_030627_1" xfId="539" xr:uid="{00000000-0005-0000-0000-000038020000}"/>
    <cellStyle name="見積桁区切り_T社WRSサービス作業計画_020214_WRS新卒全体ｽｹｼﾞｭｰﾙ_ソフトSS概算見積_030620_ソフトSS概算見積_030627_JITEC見積_03.10.1" xfId="540" xr:uid="{00000000-0005-0000-0000-000039020000}"/>
    <cellStyle name="見積-桁区切り_T社WRSサービス作業計画_020214_WRS新卒全体ｽｹｼﾞｭｰﾙ_ソフトSS概算見積_030620_ソフトSS概算見積_030627_JITEC見積_03.10.1" xfId="541" xr:uid="{00000000-0005-0000-0000-00003A020000}"/>
    <cellStyle name="見積桁区切り_T社WRSサービス作業計画_020214_WRS新卒全体ｽｹｼﾞｭｰﾙ_ソフトSS概算見積_030620_ソフトSS概算見積_030627_JITEC見積_03.10.1_工数内訳" xfId="542" xr:uid="{00000000-0005-0000-0000-00003B020000}"/>
    <cellStyle name="見積-桁区切り_T社WRSサービス作業計画_020214_WRS新卒全体ｽｹｼﾞｭｰﾙ_ソフトSS概算見積_030620_ソフトSS概算見積_030627_JITEC見積_03.10.1_工数内訳" xfId="543" xr:uid="{00000000-0005-0000-0000-00003C020000}"/>
    <cellStyle name="見積桁区切り_T社WRSサービス作業計画_020214_WRS新卒全体ｽｹｼﾞｭｰﾙ_ソフトSS概算見積_030620_ソフトSS概算見積_030627_JITEC見積_03.9.28" xfId="544" xr:uid="{00000000-0005-0000-0000-00003D020000}"/>
    <cellStyle name="見積-桁区切り_T社WRSサービス作業計画_020214_WRS新卒全体ｽｹｼﾞｭｰﾙ_ソフトSS概算見積_030620_ソフトSS概算見積_030627_JITEC見積_03.9.28" xfId="545" xr:uid="{00000000-0005-0000-0000-00003E020000}"/>
    <cellStyle name="見積桁区切り_T社WRSサービス作業計画_020214_WRS新卒全体ｽｹｼﾞｭｰﾙ_ソフトSS概算見積_030620_ソフトSS概算見積_030627_ソフトSS概算見積_030627" xfId="546" xr:uid="{00000000-0005-0000-0000-00003F020000}"/>
    <cellStyle name="見積-桁区切り_T社WRSサービス作業計画_020214_WRS新卒全体ｽｹｼﾞｭｰﾙ_ソフトSS概算見積_030620_ソフトSS概算見積_030627_ソフトSS概算見積_030627" xfId="547" xr:uid="{00000000-0005-0000-0000-000040020000}"/>
    <cellStyle name="見積桁区切り_T社WRSサービス作業計画_020214_WRS新卒全体ｽｹｼﾞｭｰﾙ_ソフトSS概算見積_030620_ソフトSS概算見積_030627_開発見積" xfId="548" xr:uid="{00000000-0005-0000-0000-000041020000}"/>
    <cellStyle name="見積-桁区切り_T社WRSサービス作業計画_020214_WRS新卒全体ｽｹｼﾞｭｰﾙ_ソフトSS概算見積_030620_ソフトSS概算見積_030627_開発見積" xfId="549" xr:uid="{00000000-0005-0000-0000-000042020000}"/>
    <cellStyle name="見積桁区切り_T社WRSサービス作業計画_020214_WRS新卒全体ｽｹｼﾞｭｰﾙ_ソフトSS概算見積_030620_開発見積" xfId="550" xr:uid="{00000000-0005-0000-0000-000043020000}"/>
    <cellStyle name="見積-桁区切り_T社WRSサービス作業計画_020214_WRS新卒全体ｽｹｼﾞｭｰﾙ_ソフトSS概算見積_030620_開発見積" xfId="551" xr:uid="{00000000-0005-0000-0000-000044020000}"/>
    <cellStyle name="見積桁区切り_T社WRSサービス作業計画_020214_WRS新卒全体ｽｹｼﾞｭｰﾙ_ソフトSS概算見積_03062１営業修正" xfId="552" xr:uid="{00000000-0005-0000-0000-000045020000}"/>
    <cellStyle name="見積-桁区切り_T社WRSサービス作業計画_020214_WRS新卒全体ｽｹｼﾞｭｰﾙ_ソフトSS概算見積_03062１営業修正" xfId="553" xr:uid="{00000000-0005-0000-0000-000046020000}"/>
    <cellStyle name="見積桁区切り_T社WRSサービス作業計画_020214_WRS新卒全体ｽｹｼﾞｭｰﾙ_ソフトSS概算見積_03062１営業修正_＜3産2＞見積条件040127" xfId="554" xr:uid="{00000000-0005-0000-0000-000047020000}"/>
    <cellStyle name="見積-桁区切り_T社WRSサービス作業計画_020214_WRS新卒全体ｽｹｼﾞｭｰﾙ_ソフトSS概算見積_03062１営業修正_＜3産2＞見積条件040127" xfId="555" xr:uid="{00000000-0005-0000-0000-000048020000}"/>
    <cellStyle name="見積桁区切り_T社WRSサービス作業計画_020214_WRS新卒全体ｽｹｼﾞｭｰﾙ_ソフトSS概算見積_03062１営業修正_JITEC見積_03.10.1" xfId="556" xr:uid="{00000000-0005-0000-0000-000049020000}"/>
    <cellStyle name="見積-桁区切り_T社WRSサービス作業計画_020214_WRS新卒全体ｽｹｼﾞｭｰﾙ_ソフトSS概算見積_03062１営業修正_JITEC見積_03.10.1" xfId="557" xr:uid="{00000000-0005-0000-0000-00004A020000}"/>
    <cellStyle name="見積桁区切り_T社WRSサービス作業計画_020214_WRS新卒全体ｽｹｼﾞｭｰﾙ_ソフトSS概算見積_03062１営業修正_JITEC見積_03.10.1_工数内訳" xfId="558" xr:uid="{00000000-0005-0000-0000-00004B020000}"/>
    <cellStyle name="見積-桁区切り_T社WRSサービス作業計画_020214_WRS新卒全体ｽｹｼﾞｭｰﾙ_ソフトSS概算見積_03062１営業修正_JITEC見積_03.10.1_工数内訳" xfId="559" xr:uid="{00000000-0005-0000-0000-00004C020000}"/>
    <cellStyle name="見積桁区切り_T社WRSサービス作業計画_020214_WRS新卒全体ｽｹｼﾞｭｰﾙ_ソフトSS概算見積_03062１営業修正_JITEC見積_03.9.28" xfId="560" xr:uid="{00000000-0005-0000-0000-00004D020000}"/>
    <cellStyle name="見積-桁区切り_T社WRSサービス作業計画_020214_WRS新卒全体ｽｹｼﾞｭｰﾙ_ソフトSS概算見積_03062１営業修正_JITEC見積_03.9.28" xfId="561" xr:uid="{00000000-0005-0000-0000-00004E020000}"/>
    <cellStyle name="見積桁区切り_T社WRSサービス作業計画_020214_WRS新卒全体ｽｹｼﾞｭｰﾙ_ソフトSS概算見積_03062１営業修正_ソフトSS概算見" xfId="562" xr:uid="{00000000-0005-0000-0000-00004F020000}"/>
    <cellStyle name="見積-桁区切り_T社WRSサービス作業計画_020214_WRS新卒全体ｽｹｼﾞｭｰﾙ_ソフトSS概算見積_03062１営業修正_ソフトSS概算見" xfId="563" xr:uid="{00000000-0005-0000-0000-000050020000}"/>
    <cellStyle name="見積桁区切り_T社WRSサービス作業計画_020214_WRS新卒全体ｽｹｼﾞｭｰﾙ_ソフトSS概算見積_03062１営業修正_ソフトSS概算見_＜3産2＞見積条件040127" xfId="564" xr:uid="{00000000-0005-0000-0000-000051020000}"/>
    <cellStyle name="見積-桁区切り_T社WRSサービス作業計画_020214_WRS新卒全体ｽｹｼﾞｭｰﾙ_ソフトSS概算見積_03062１営業修正_ソフトSS概算見_＜3産2＞見積条件040127" xfId="565" xr:uid="{00000000-0005-0000-0000-000052020000}"/>
    <cellStyle name="見積桁区切り_T社WRSサービス作業計画_020214_WRS新卒全体ｽｹｼﾞｭｰﾙ_ソフトSS概算見積_03062１営業修正_ソフトSS概算見_JITEC見積_03.10.1" xfId="566" xr:uid="{00000000-0005-0000-0000-000053020000}"/>
    <cellStyle name="見積-桁区切り_T社WRSサービス作業計画_020214_WRS新卒全体ｽｹｼﾞｭｰﾙ_ソフトSS概算見積_03062１営業修正_ソフトSS概算見_JITEC見積_03.10.1" xfId="567" xr:uid="{00000000-0005-0000-0000-000054020000}"/>
    <cellStyle name="見積桁区切り_T社WRSサービス作業計画_020214_WRS新卒全体ｽｹｼﾞｭｰﾙ_ソフトSS概算見積_03062１営業修正_ソフトSS概算見_JITEC見積_03.10.1_工数内訳" xfId="568" xr:uid="{00000000-0005-0000-0000-000055020000}"/>
    <cellStyle name="見積-桁区切り_T社WRSサービス作業計画_020214_WRS新卒全体ｽｹｼﾞｭｰﾙ_ソフトSS概算見積_03062１営業修正_ソフトSS概算見_JITEC見積_03.10.1_工数内訳" xfId="569" xr:uid="{00000000-0005-0000-0000-000056020000}"/>
    <cellStyle name="見積桁区切り_T社WRSサービス作業計画_020214_WRS新卒全体ｽｹｼﾞｭｰﾙ_ソフトSS概算見積_03062１営業修正_ソフトSS概算見_JITEC見積_03.9.28" xfId="570" xr:uid="{00000000-0005-0000-0000-000057020000}"/>
    <cellStyle name="見積-桁区切り_T社WRSサービス作業計画_020214_WRS新卒全体ｽｹｼﾞｭｰﾙ_ソフトSS概算見積_03062１営業修正_ソフトSS概算見_JITEC見積_03.9.28" xfId="571" xr:uid="{00000000-0005-0000-0000-000058020000}"/>
    <cellStyle name="見積桁区切り_T社WRSサービス作業計画_020214_WRS新卒全体ｽｹｼﾞｭｰﾙ_ソフトSS概算見積_03062１営業修正_ソフトSS概算見_開発見積" xfId="572" xr:uid="{00000000-0005-0000-0000-000059020000}"/>
    <cellStyle name="見積-桁区切り_T社WRSサービス作業計画_020214_WRS新卒全体ｽｹｼﾞｭｰﾙ_ソフトSS概算見積_03062１営業修正_ソフトSS概算見_開発見積" xfId="573" xr:uid="{00000000-0005-0000-0000-00005A020000}"/>
    <cellStyle name="見積桁区切り_T社WRSサービス作業計画_020214_WRS新卒全体ｽｹｼﾞｭｰﾙ_ソフトSS概算見積_03062１営業修正_開発見積" xfId="574" xr:uid="{00000000-0005-0000-0000-00005B020000}"/>
    <cellStyle name="見積-桁区切り_T社WRSサービス作業計画_020214_WRS新卒全体ｽｹｼﾞｭｰﾙ_ソフトSS概算見積_03062１営業修正_開発見積" xfId="575" xr:uid="{00000000-0005-0000-0000-00005C020000}"/>
    <cellStyle name="見積桁区切り_T社WRSサービス作業計画_020214_WRS新卒全体ｽｹｼﾞｭｰﾙ_ソフトSS概算見積_030627" xfId="576" xr:uid="{00000000-0005-0000-0000-00005D020000}"/>
    <cellStyle name="見積-桁区切り_T社WRSサービス作業計画_020214_WRS新卒全体ｽｹｼﾞｭｰﾙ_ソフトSS概算見積_030627" xfId="577" xr:uid="{00000000-0005-0000-0000-00005E020000}"/>
    <cellStyle name="見積桁区切り_T社WRSサービス作業計画_020214_WRS新卒全体ｽｹｼﾞｭｰﾙ_開発見積" xfId="578" xr:uid="{00000000-0005-0000-0000-00005F020000}"/>
    <cellStyle name="見積-桁区切り_T社WRSサービス作業計画_020214_WRS新卒全体ｽｹｼﾞｭｰﾙ_開発見積" xfId="579" xr:uid="{00000000-0005-0000-0000-000060020000}"/>
    <cellStyle name="見積桁区切り_T社WRSサービス作業計画_020214_WRS新卒全体ｽｹｼﾞｭｰﾙ_自治体向けｻｲﾄ構築機能整理表_Ver2" xfId="580" xr:uid="{00000000-0005-0000-0000-000061020000}"/>
    <cellStyle name="見積-桁区切り_T社WRSサービス作業計画_020214_WRS新卒全体ｽｹｼﾞｭｰﾙ_自治体向けｻｲﾄ構築機能整理表_Ver2" xfId="581" xr:uid="{00000000-0005-0000-0000-000062020000}"/>
    <cellStyle name="見積桁区切り_T社WRSサービス作業計画_020214_ソフトSS概算見積_030620" xfId="582" xr:uid="{00000000-0005-0000-0000-000063020000}"/>
    <cellStyle name="見積-桁区切り_T社WRSサービス作業計画_020214_ソフトSS概算見積_030620" xfId="583" xr:uid="{00000000-0005-0000-0000-000064020000}"/>
    <cellStyle name="見積桁区切り_T社WRSサービス作業計画_020214_ソフトSS概算見積_030620_＜3産2＞見積条件040127" xfId="584" xr:uid="{00000000-0005-0000-0000-000065020000}"/>
    <cellStyle name="見積-桁区切り_T社WRSサービス作業計画_020214_ソフトSS概算見積_030620_＜3産2＞見積条件040127" xfId="585" xr:uid="{00000000-0005-0000-0000-000066020000}"/>
    <cellStyle name="見積桁区切り_T社WRSサービス作業計画_020214_ソフトSS概算見積_030620_1" xfId="586" xr:uid="{00000000-0005-0000-0000-000067020000}"/>
    <cellStyle name="見積-桁区切り_T社WRSサービス作業計画_020214_ソフトSS概算見積_030620_1" xfId="587" xr:uid="{00000000-0005-0000-0000-000068020000}"/>
    <cellStyle name="見積桁区切り_T社WRSサービス作業計画_020214_ソフトSS概算見積_030620_JITEC見積_03.10.1" xfId="588" xr:uid="{00000000-0005-0000-0000-000069020000}"/>
    <cellStyle name="見積-桁区切り_T社WRSサービス作業計画_020214_ソフトSS概算見積_030620_JITEC見積_03.10.1" xfId="589" xr:uid="{00000000-0005-0000-0000-00006A020000}"/>
    <cellStyle name="見積桁区切り_T社WRSサービス作業計画_020214_ソフトSS概算見積_030620_JITEC見積_03.10.1_工数内訳" xfId="590" xr:uid="{00000000-0005-0000-0000-00006B020000}"/>
    <cellStyle name="見積-桁区切り_T社WRSサービス作業計画_020214_ソフトSS概算見積_030620_JITEC見積_03.10.1_工数内訳" xfId="591" xr:uid="{00000000-0005-0000-0000-00006C020000}"/>
    <cellStyle name="見積桁区切り_T社WRSサービス作業計画_020214_ソフトSS概算見積_030620_JITEC見積_03.9.28" xfId="592" xr:uid="{00000000-0005-0000-0000-00006D020000}"/>
    <cellStyle name="見積-桁区切り_T社WRSサービス作業計画_020214_ソフトSS概算見積_030620_JITEC見積_03.9.28" xfId="593" xr:uid="{00000000-0005-0000-0000-00006E020000}"/>
    <cellStyle name="見積桁区切り_T社WRSサービス作業計画_020214_ソフトSS概算見積_030620_ソフトSS概算見" xfId="594" xr:uid="{00000000-0005-0000-0000-00006F020000}"/>
    <cellStyle name="見積-桁区切り_T社WRSサービス作業計画_020214_ソフトSS概算見積_030620_ソフトSS概算見" xfId="595" xr:uid="{00000000-0005-0000-0000-000070020000}"/>
    <cellStyle name="見積桁区切り_T社WRSサービス作業計画_020214_ソフトSS概算見積_030620_ソフトSS概算見_＜3産2＞見積条件040127" xfId="596" xr:uid="{00000000-0005-0000-0000-000071020000}"/>
    <cellStyle name="見積-桁区切り_T社WRSサービス作業計画_020214_ソフトSS概算見積_030620_ソフトSS概算見_＜3産2＞見積条件040127" xfId="597" xr:uid="{00000000-0005-0000-0000-000072020000}"/>
    <cellStyle name="見積桁区切り_T社WRSサービス作業計画_020214_ソフトSS概算見積_030620_ソフトSS概算見_JITEC見積_03.10.1" xfId="598" xr:uid="{00000000-0005-0000-0000-000073020000}"/>
    <cellStyle name="見積-桁区切り_T社WRSサービス作業計画_020214_ソフトSS概算見積_030620_ソフトSS概算見_JITEC見積_03.10.1" xfId="599" xr:uid="{00000000-0005-0000-0000-000074020000}"/>
    <cellStyle name="見積桁区切り_T社WRSサービス作業計画_020214_ソフトSS概算見積_030620_ソフトSS概算見_JITEC見積_03.10.1_工数内訳" xfId="600" xr:uid="{00000000-0005-0000-0000-000075020000}"/>
    <cellStyle name="見積-桁区切り_T社WRSサービス作業計画_020214_ソフトSS概算見積_030620_ソフトSS概算見_JITEC見積_03.10.1_工数内訳" xfId="601" xr:uid="{00000000-0005-0000-0000-000076020000}"/>
    <cellStyle name="見積桁区切り_T社WRSサービス作業計画_020214_ソフトSS概算見積_030620_ソフトSS概算見_JITEC見積_03.9.28" xfId="602" xr:uid="{00000000-0005-0000-0000-000077020000}"/>
    <cellStyle name="見積-桁区切り_T社WRSサービス作業計画_020214_ソフトSS概算見積_030620_ソフトSS概算見_JITEC見積_03.9.28" xfId="603" xr:uid="{00000000-0005-0000-0000-000078020000}"/>
    <cellStyle name="見積桁区切り_T社WRSサービス作業計画_020214_ソフトSS概算見積_030620_ソフトSS概算見_開発見積" xfId="604" xr:uid="{00000000-0005-0000-0000-000079020000}"/>
    <cellStyle name="見積-桁区切り_T社WRSサービス作業計画_020214_ソフトSS概算見積_030620_ソフトSS概算見_開発見積" xfId="605" xr:uid="{00000000-0005-0000-0000-00007A020000}"/>
    <cellStyle name="見積桁区切り_T社WRSサービス作業計画_020214_ソフトSS概算見積_030620_ソフトSS概算見積_030620" xfId="606" xr:uid="{00000000-0005-0000-0000-00007B020000}"/>
    <cellStyle name="見積-桁区切り_T社WRSサービス作業計画_020214_ソフトSS概算見積_030620_ソフトSS概算見積_030620" xfId="607" xr:uid="{00000000-0005-0000-0000-00007C020000}"/>
    <cellStyle name="見積桁区切り_T社WRSサービス作業計画_020214_ソフトSS概算見積_030620_ソフトSS概算見積_030627" xfId="608" xr:uid="{00000000-0005-0000-0000-00007D020000}"/>
    <cellStyle name="見積-桁区切り_T社WRSサービス作業計画_020214_ソフトSS概算見積_030620_ソフトSS概算見積_030627" xfId="609" xr:uid="{00000000-0005-0000-0000-00007E020000}"/>
    <cellStyle name="見積桁区切り_T社WRSサービス作業計画_020214_ソフトSS概算見積_030620_ソフトSS概算見積_030627_＜3産2＞見積条件040127" xfId="610" xr:uid="{00000000-0005-0000-0000-00007F020000}"/>
    <cellStyle name="見積-桁区切り_T社WRSサービス作業計画_020214_ソフトSS概算見積_030620_ソフトSS概算見積_030627_＜3産2＞見積条件040127" xfId="611" xr:uid="{00000000-0005-0000-0000-000080020000}"/>
    <cellStyle name="見積桁区切り_T社WRSサービス作業計画_020214_ソフトSS概算見積_030620_ソフトSS概算見積_030627_1" xfId="612" xr:uid="{00000000-0005-0000-0000-000081020000}"/>
    <cellStyle name="見積-桁区切り_T社WRSサービス作業計画_020214_ソフトSS概算見積_030620_ソフトSS概算見積_030627_1" xfId="613" xr:uid="{00000000-0005-0000-0000-000082020000}"/>
    <cellStyle name="見積桁区切り_T社WRSサービス作業計画_020214_ソフトSS概算見積_030620_ソフトSS概算見積_030627_JITEC見積_03.10.1" xfId="614" xr:uid="{00000000-0005-0000-0000-000083020000}"/>
    <cellStyle name="見積-桁区切り_T社WRSサービス作業計画_020214_ソフトSS概算見積_030620_ソフトSS概算見積_030627_JITEC見積_03.10.1" xfId="615" xr:uid="{00000000-0005-0000-0000-000084020000}"/>
    <cellStyle name="見積桁区切り_T社WRSサービス作業計画_020214_ソフトSS概算見積_030620_ソフトSS概算見積_030627_JITEC見積_03.10.1_工数内訳" xfId="616" xr:uid="{00000000-0005-0000-0000-000085020000}"/>
    <cellStyle name="見積-桁区切り_T社WRSサービス作業計画_020214_ソフトSS概算見積_030620_ソフトSS概算見積_030627_JITEC見積_03.10.1_工数内訳" xfId="617" xr:uid="{00000000-0005-0000-0000-000086020000}"/>
    <cellStyle name="見積桁区切り_T社WRSサービス作業計画_020214_ソフトSS概算見積_030620_ソフトSS概算見積_030627_JITEC見積_03.9.28" xfId="618" xr:uid="{00000000-0005-0000-0000-000087020000}"/>
    <cellStyle name="見積-桁区切り_T社WRSサービス作業計画_020214_ソフトSS概算見積_030620_ソフトSS概算見積_030627_JITEC見積_03.9.28" xfId="619" xr:uid="{00000000-0005-0000-0000-000088020000}"/>
    <cellStyle name="見積桁区切り_T社WRSサービス作業計画_020214_ソフトSS概算見積_030620_ソフトSS概算見積_030627_ソフトSS概算見積_030627" xfId="620" xr:uid="{00000000-0005-0000-0000-000089020000}"/>
    <cellStyle name="見積-桁区切り_T社WRSサービス作業計画_020214_ソフトSS概算見積_030620_ソフトSS概算見積_030627_ソフトSS概算見積_030627" xfId="621" xr:uid="{00000000-0005-0000-0000-00008A020000}"/>
    <cellStyle name="見積桁区切り_T社WRSサービス作業計画_020214_ソフトSS概算見積_030620_ソフトSS概算見積_030627_開発見積" xfId="622" xr:uid="{00000000-0005-0000-0000-00008B020000}"/>
    <cellStyle name="見積-桁区切り_T社WRSサービス作業計画_020214_ソフトSS概算見積_030620_ソフトSS概算見積_030627_開発見積" xfId="623" xr:uid="{00000000-0005-0000-0000-00008C020000}"/>
    <cellStyle name="見積桁区切り_T社WRSサービス作業計画_020214_ソフトSS概算見積_030620_開発見積" xfId="624" xr:uid="{00000000-0005-0000-0000-00008D020000}"/>
    <cellStyle name="見積-桁区切り_T社WRSサービス作業計画_020214_ソフトSS概算見積_030620_開発見積" xfId="625" xr:uid="{00000000-0005-0000-0000-00008E020000}"/>
    <cellStyle name="見積桁区切り_T社WRSサービス作業計画_020214_ソフトSS概算見積_03062１営業修正" xfId="626" xr:uid="{00000000-0005-0000-0000-00008F020000}"/>
    <cellStyle name="見積-桁区切り_T社WRSサービス作業計画_020214_ソフトSS概算見積_03062１営業修正" xfId="627" xr:uid="{00000000-0005-0000-0000-000090020000}"/>
    <cellStyle name="見積桁区切り_T社WRSサービス作業計画_020214_ソフトSS概算見積_03062１営業修正_＜3産2＞見積条件040127" xfId="628" xr:uid="{00000000-0005-0000-0000-000091020000}"/>
    <cellStyle name="見積-桁区切り_T社WRSサービス作業計画_020214_ソフトSS概算見積_03062１営業修正_＜3産2＞見積条件040127" xfId="629" xr:uid="{00000000-0005-0000-0000-000092020000}"/>
    <cellStyle name="見積桁区切り_T社WRSサービス作業計画_020214_ソフトSS概算見積_03062１営業修正_JITEC見積_03.10.1" xfId="630" xr:uid="{00000000-0005-0000-0000-000093020000}"/>
    <cellStyle name="見積-桁区切り_T社WRSサービス作業計画_020214_ソフトSS概算見積_03062１営業修正_JITEC見積_03.10.1" xfId="631" xr:uid="{00000000-0005-0000-0000-000094020000}"/>
    <cellStyle name="見積桁区切り_T社WRSサービス作業計画_020214_ソフトSS概算見積_03062１営業修正_JITEC見積_03.10.1_工数内訳" xfId="632" xr:uid="{00000000-0005-0000-0000-000095020000}"/>
    <cellStyle name="見積-桁区切り_T社WRSサービス作業計画_020214_ソフトSS概算見積_03062１営業修正_JITEC見積_03.10.1_工数内訳" xfId="633" xr:uid="{00000000-0005-0000-0000-000096020000}"/>
    <cellStyle name="見積桁区切り_T社WRSサービス作業計画_020214_ソフトSS概算見積_03062１営業修正_JITEC見積_03.9.28" xfId="634" xr:uid="{00000000-0005-0000-0000-000097020000}"/>
    <cellStyle name="見積-桁区切り_T社WRSサービス作業計画_020214_ソフトSS概算見積_03062１営業修正_JITEC見積_03.9.28" xfId="635" xr:uid="{00000000-0005-0000-0000-000098020000}"/>
    <cellStyle name="見積桁区切り_T社WRSサービス作業計画_020214_ソフトSS概算見積_03062１営業修正_ソフトSS概算見" xfId="636" xr:uid="{00000000-0005-0000-0000-000099020000}"/>
    <cellStyle name="見積-桁区切り_T社WRSサービス作業計画_020214_ソフトSS概算見積_03062１営業修正_ソフトSS概算見" xfId="637" xr:uid="{00000000-0005-0000-0000-00009A020000}"/>
    <cellStyle name="見積桁区切り_T社WRSサービス作業計画_020214_ソフトSS概算見積_03062１営業修正_ソフトSS概算見_＜3産2＞見積条件040127" xfId="638" xr:uid="{00000000-0005-0000-0000-00009B020000}"/>
    <cellStyle name="見積-桁区切り_T社WRSサービス作業計画_020214_ソフトSS概算見積_03062１営業修正_ソフトSS概算見_＜3産2＞見積条件040127" xfId="639" xr:uid="{00000000-0005-0000-0000-00009C020000}"/>
    <cellStyle name="見積桁区切り_T社WRSサービス作業計画_020214_ソフトSS概算見積_03062１営業修正_ソフトSS概算見_JITEC見積_03.10.1" xfId="640" xr:uid="{00000000-0005-0000-0000-00009D020000}"/>
    <cellStyle name="見積-桁区切り_T社WRSサービス作業計画_020214_ソフトSS概算見積_03062１営業修正_ソフトSS概算見_JITEC見積_03.10.1" xfId="641" xr:uid="{00000000-0005-0000-0000-00009E020000}"/>
    <cellStyle name="見積桁区切り_T社WRSサービス作業計画_020214_ソフトSS概算見積_03062１営業修正_ソフトSS概算見_JITEC見積_03.10.1_工数内訳" xfId="642" xr:uid="{00000000-0005-0000-0000-00009F020000}"/>
    <cellStyle name="見積-桁区切り_T社WRSサービス作業計画_020214_ソフトSS概算見積_03062１営業修正_ソフトSS概算見_JITEC見積_03.10.1_工数内訳" xfId="643" xr:uid="{00000000-0005-0000-0000-0000A0020000}"/>
    <cellStyle name="見積桁区切り_T社WRSサービス作業計画_020214_ソフトSS概算見積_03062１営業修正_ソフトSS概算見_JITEC見積_03.9.28" xfId="644" xr:uid="{00000000-0005-0000-0000-0000A1020000}"/>
    <cellStyle name="見積-桁区切り_T社WRSサービス作業計画_020214_ソフトSS概算見積_03062１営業修正_ソフトSS概算見_JITEC見積_03.9.28" xfId="645" xr:uid="{00000000-0005-0000-0000-0000A2020000}"/>
    <cellStyle name="見積桁区切り_T社WRSサービス作業計画_020214_ソフトSS概算見積_03062１営業修正_ソフトSS概算見_開発見積" xfId="646" xr:uid="{00000000-0005-0000-0000-0000A3020000}"/>
    <cellStyle name="見積-桁区切り_T社WRSサービス作業計画_020214_ソフトSS概算見積_03062１営業修正_ソフトSS概算見_開発見積" xfId="647" xr:uid="{00000000-0005-0000-0000-0000A4020000}"/>
    <cellStyle name="見積桁区切り_T社WRSサービス作業計画_020214_ソフトSS概算見積_03062１営業修正_開発見積" xfId="648" xr:uid="{00000000-0005-0000-0000-0000A5020000}"/>
    <cellStyle name="見積-桁区切り_T社WRSサービス作業計画_020214_ソフトSS概算見積_03062１営業修正_開発見積" xfId="649" xr:uid="{00000000-0005-0000-0000-0000A6020000}"/>
    <cellStyle name="見積桁区切り_T社WRSサービス作業計画_020214_ソフトSS概算見積_030627" xfId="650" xr:uid="{00000000-0005-0000-0000-0000A7020000}"/>
    <cellStyle name="見積-桁区切り_T社WRSサービス作業計画_020214_ソフトSS概算見積_030627" xfId="651" xr:uid="{00000000-0005-0000-0000-0000A8020000}"/>
    <cellStyle name="見積桁区切り_T社WRSサービス作業計画_020214_開発見積" xfId="652" xr:uid="{00000000-0005-0000-0000-0000A9020000}"/>
    <cellStyle name="見積-桁区切り_T社WRSサービス作業計画_020214_開発見積" xfId="653" xr:uid="{00000000-0005-0000-0000-0000AA020000}"/>
    <cellStyle name="見積桁区切り_T社WRSサービス作業計画_020214_自治体向けｻｲﾄ構築機能整理表_Ver2" xfId="654" xr:uid="{00000000-0005-0000-0000-0000AB020000}"/>
    <cellStyle name="見積-桁区切り_T社WRSサービス作業計画_020214_自治体向けｻｲﾄ構築機能整理表_Ver2" xfId="655" xr:uid="{00000000-0005-0000-0000-0000AC020000}"/>
    <cellStyle name="見積桁区切り_Ｔ社殿向け概算見積提示版_020122" xfId="656" xr:uid="{00000000-0005-0000-0000-0000AD020000}"/>
    <cellStyle name="見積-桁区切り_Ｔ社殿向け概算見積提示版_020122" xfId="657" xr:uid="{00000000-0005-0000-0000-0000AE020000}"/>
    <cellStyle name="見積桁区切り_WRS詳細設計書format(blue)" xfId="658" xr:uid="{00000000-0005-0000-0000-0000AF020000}"/>
    <cellStyle name="見積-桁区切り_WRS詳細設計書format(blue)" xfId="659" xr:uid="{00000000-0005-0000-0000-0000B0020000}"/>
    <cellStyle name="見積桁区切り_WRS詳細設計書format(blue)_＜3産2＞見積条件040127" xfId="660" xr:uid="{00000000-0005-0000-0000-0000B1020000}"/>
    <cellStyle name="見積-桁区切り_WRS詳細設計書format(blue)_＜3産2＞見積条件040127" xfId="661" xr:uid="{00000000-0005-0000-0000-0000B2020000}"/>
    <cellStyle name="見積桁区切り_WRS詳細設計書format(blue)_JITEC見積_03.10.1" xfId="662" xr:uid="{00000000-0005-0000-0000-0000B3020000}"/>
    <cellStyle name="見積-桁区切り_WRS詳細設計書format(blue)_JITEC見積_03.10.1" xfId="663" xr:uid="{00000000-0005-0000-0000-0000B4020000}"/>
    <cellStyle name="見積桁区切り_WRS詳細設計書format(blue)_JITEC見積_03.10.1_工数内訳" xfId="664" xr:uid="{00000000-0005-0000-0000-0000B5020000}"/>
    <cellStyle name="見積-桁区切り_WRS詳細設計書format(blue)_JITEC見積_03.10.1_工数内訳" xfId="665" xr:uid="{00000000-0005-0000-0000-0000B6020000}"/>
    <cellStyle name="見積桁区切り_WRS詳細設計書format(blue)_JITEC見積_03.9.28" xfId="666" xr:uid="{00000000-0005-0000-0000-0000B7020000}"/>
    <cellStyle name="見積-桁区切り_WRS詳細設計書format(blue)_JITEC見積_03.9.28" xfId="667" xr:uid="{00000000-0005-0000-0000-0000B8020000}"/>
    <cellStyle name="見積桁区切り_WRS詳細設計書format(blue)_ソフトSS概算見積_030620" xfId="668" xr:uid="{00000000-0005-0000-0000-0000B9020000}"/>
    <cellStyle name="見積-桁区切り_WRS詳細設計書format(blue)_ソフトSS概算見積_030620" xfId="669" xr:uid="{00000000-0005-0000-0000-0000BA020000}"/>
    <cellStyle name="見積桁区切り_WRS詳細設計書format(blue)_ソフトSS概算見積_030620_＜3産2＞見積条件040127" xfId="670" xr:uid="{00000000-0005-0000-0000-0000BB020000}"/>
    <cellStyle name="見積-桁区切り_WRS詳細設計書format(blue)_ソフトSS概算見積_030620_＜3産2＞見積条件040127" xfId="671" xr:uid="{00000000-0005-0000-0000-0000BC020000}"/>
    <cellStyle name="見積桁区切り_WRS詳細設計書format(blue)_ソフトSS概算見積_030620_1" xfId="672" xr:uid="{00000000-0005-0000-0000-0000BD020000}"/>
    <cellStyle name="見積-桁区切り_WRS詳細設計書format(blue)_ソフトSS概算見積_030620_1" xfId="673" xr:uid="{00000000-0005-0000-0000-0000BE020000}"/>
    <cellStyle name="見積桁区切り_WRS詳細設計書format(blue)_ソフトSS概算見積_030620_JITEC見積_03.10.1" xfId="674" xr:uid="{00000000-0005-0000-0000-0000BF020000}"/>
    <cellStyle name="見積-桁区切り_WRS詳細設計書format(blue)_ソフトSS概算見積_030620_JITEC見積_03.10.1" xfId="675" xr:uid="{00000000-0005-0000-0000-0000C0020000}"/>
    <cellStyle name="見積桁区切り_WRS詳細設計書format(blue)_ソフトSS概算見積_030620_JITEC見積_03.10.1_工数内訳" xfId="676" xr:uid="{00000000-0005-0000-0000-0000C1020000}"/>
    <cellStyle name="見積-桁区切り_WRS詳細設計書format(blue)_ソフトSS概算見積_030620_JITEC見積_03.10.1_工数内訳" xfId="677" xr:uid="{00000000-0005-0000-0000-0000C2020000}"/>
    <cellStyle name="見積桁区切り_WRS詳細設計書format(blue)_ソフトSS概算見積_030620_JITEC見積_03.9.28" xfId="678" xr:uid="{00000000-0005-0000-0000-0000C3020000}"/>
    <cellStyle name="見積-桁区切り_WRS詳細設計書format(blue)_ソフトSS概算見積_030620_JITEC見積_03.9.28" xfId="679" xr:uid="{00000000-0005-0000-0000-0000C4020000}"/>
    <cellStyle name="見積桁区切り_WRS詳細設計書format(blue)_ソフトSS概算見積_030620_ソフトSS概算見" xfId="680" xr:uid="{00000000-0005-0000-0000-0000C5020000}"/>
    <cellStyle name="見積-桁区切り_WRS詳細設計書format(blue)_ソフトSS概算見積_030620_ソフトSS概算見" xfId="681" xr:uid="{00000000-0005-0000-0000-0000C6020000}"/>
    <cellStyle name="見積桁区切り_WRS詳細設計書format(blue)_ソフトSS概算見積_030620_ソフトSS概算見_＜3産2＞見積条件040127" xfId="682" xr:uid="{00000000-0005-0000-0000-0000C7020000}"/>
    <cellStyle name="見積-桁区切り_WRS詳細設計書format(blue)_ソフトSS概算見積_030620_ソフトSS概算見_＜3産2＞見積条件040127" xfId="683" xr:uid="{00000000-0005-0000-0000-0000C8020000}"/>
    <cellStyle name="見積桁区切り_WRS詳細設計書format(blue)_ソフトSS概算見積_030620_ソフトSS概算見_JITEC見積_03.10.1" xfId="684" xr:uid="{00000000-0005-0000-0000-0000C9020000}"/>
    <cellStyle name="見積-桁区切り_WRS詳細設計書format(blue)_ソフトSS概算見積_030620_ソフトSS概算見_JITEC見積_03.10.1" xfId="685" xr:uid="{00000000-0005-0000-0000-0000CA020000}"/>
    <cellStyle name="見積桁区切り_WRS詳細設計書format(blue)_ソフトSS概算見積_030620_ソフトSS概算見_JITEC見積_03.10.1_工数内訳" xfId="686" xr:uid="{00000000-0005-0000-0000-0000CB020000}"/>
    <cellStyle name="見積-桁区切り_WRS詳細設計書format(blue)_ソフトSS概算見積_030620_ソフトSS概算見_JITEC見積_03.10.1_工数内訳" xfId="687" xr:uid="{00000000-0005-0000-0000-0000CC020000}"/>
    <cellStyle name="見積桁区切り_WRS詳細設計書format(blue)_ソフトSS概算見積_030620_ソフトSS概算見_JITEC見積_03.9.28" xfId="688" xr:uid="{00000000-0005-0000-0000-0000CD020000}"/>
    <cellStyle name="見積-桁区切り_WRS詳細設計書format(blue)_ソフトSS概算見積_030620_ソフトSS概算見_JITEC見積_03.9.28" xfId="689" xr:uid="{00000000-0005-0000-0000-0000CE020000}"/>
    <cellStyle name="見積桁区切り_WRS詳細設計書format(blue)_ソフトSS概算見積_030620_ソフトSS概算見_開発見積" xfId="690" xr:uid="{00000000-0005-0000-0000-0000CF020000}"/>
    <cellStyle name="見積-桁区切り_WRS詳細設計書format(blue)_ソフトSS概算見積_030620_ソフトSS概算見_開発見積" xfId="691" xr:uid="{00000000-0005-0000-0000-0000D0020000}"/>
    <cellStyle name="見積桁区切り_WRS詳細設計書format(blue)_ソフトSS概算見積_030620_ソフトSS概算見積_030620" xfId="692" xr:uid="{00000000-0005-0000-0000-0000D1020000}"/>
    <cellStyle name="見積-桁区切り_WRS詳細設計書format(blue)_ソフトSS概算見積_030620_ソフトSS概算見積_030620" xfId="693" xr:uid="{00000000-0005-0000-0000-0000D2020000}"/>
    <cellStyle name="見積桁区切り_WRS詳細設計書format(blue)_ソフトSS概算見積_030620_ソフトSS概算見積_030627" xfId="694" xr:uid="{00000000-0005-0000-0000-0000D3020000}"/>
    <cellStyle name="見積-桁区切り_WRS詳細設計書format(blue)_ソフトSS概算見積_030620_ソフトSS概算見積_030627" xfId="695" xr:uid="{00000000-0005-0000-0000-0000D4020000}"/>
    <cellStyle name="見積桁区切り_WRS詳細設計書format(blue)_ソフトSS概算見積_030620_ソフトSS概算見積_030627_＜3産2＞見積条件040127" xfId="696" xr:uid="{00000000-0005-0000-0000-0000D5020000}"/>
    <cellStyle name="見積-桁区切り_WRS詳細設計書format(blue)_ソフトSS概算見積_030620_ソフトSS概算見積_030627_＜3産2＞見積条件040127" xfId="697" xr:uid="{00000000-0005-0000-0000-0000D6020000}"/>
    <cellStyle name="見積桁区切り_WRS詳細設計書format(blue)_ソフトSS概算見積_030620_ソフトSS概算見積_030627_1" xfId="698" xr:uid="{00000000-0005-0000-0000-0000D7020000}"/>
    <cellStyle name="見積-桁区切り_WRS詳細設計書format(blue)_ソフトSS概算見積_030620_ソフトSS概算見積_030627_1" xfId="699" xr:uid="{00000000-0005-0000-0000-0000D8020000}"/>
    <cellStyle name="見積桁区切り_WRS詳細設計書format(blue)_ソフトSS概算見積_030620_ソフトSS概算見積_030627_JITEC見積_03.10.1" xfId="700" xr:uid="{00000000-0005-0000-0000-0000D9020000}"/>
    <cellStyle name="見積-桁区切り_WRS詳細設計書format(blue)_ソフトSS概算見積_030620_ソフトSS概算見積_030627_JITEC見積_03.10.1" xfId="701" xr:uid="{00000000-0005-0000-0000-0000DA020000}"/>
    <cellStyle name="見積桁区切り_WRS詳細設計書format(blue)_ソフトSS概算見積_030620_ソフトSS概算見積_030627_JITEC見積_03.10.1_工数内訳" xfId="702" xr:uid="{00000000-0005-0000-0000-0000DB020000}"/>
    <cellStyle name="見積-桁区切り_WRS詳細設計書format(blue)_ソフトSS概算見積_030620_ソフトSS概算見積_030627_JITEC見積_03.10.1_工数内訳" xfId="703" xr:uid="{00000000-0005-0000-0000-0000DC020000}"/>
    <cellStyle name="見積桁区切り_WRS詳細設計書format(blue)_ソフトSS概算見積_030620_ソフトSS概算見積_030627_JITEC見積_03.9.28" xfId="704" xr:uid="{00000000-0005-0000-0000-0000DD020000}"/>
    <cellStyle name="見積-桁区切り_WRS詳細設計書format(blue)_ソフトSS概算見積_030620_ソフトSS概算見積_030627_JITEC見積_03.9.28" xfId="705" xr:uid="{00000000-0005-0000-0000-0000DE020000}"/>
    <cellStyle name="見積桁区切り_WRS詳細設計書format(blue)_ソフトSS概算見積_030620_ソフトSS概算見積_030627_ソフトSS概算見積_030627" xfId="706" xr:uid="{00000000-0005-0000-0000-0000DF020000}"/>
    <cellStyle name="見積-桁区切り_WRS詳細設計書format(blue)_ソフトSS概算見積_030620_ソフトSS概算見積_030627_ソフトSS概算見積_030627" xfId="707" xr:uid="{00000000-0005-0000-0000-0000E0020000}"/>
    <cellStyle name="見積桁区切り_WRS詳細設計書format(blue)_ソフトSS概算見積_030620_ソフトSS概算見積_030627_開発見積" xfId="708" xr:uid="{00000000-0005-0000-0000-0000E1020000}"/>
    <cellStyle name="見積-桁区切り_WRS詳細設計書format(blue)_ソフトSS概算見積_030620_ソフトSS概算見積_030627_開発見積" xfId="709" xr:uid="{00000000-0005-0000-0000-0000E2020000}"/>
    <cellStyle name="見積桁区切り_WRS詳細設計書format(blue)_ソフトSS概算見積_030620_開発見積" xfId="710" xr:uid="{00000000-0005-0000-0000-0000E3020000}"/>
    <cellStyle name="見積-桁区切り_WRS詳細設計書format(blue)_ソフトSS概算見積_030620_開発見積" xfId="711" xr:uid="{00000000-0005-0000-0000-0000E4020000}"/>
    <cellStyle name="見積桁区切り_WRS詳細設計書format(blue)_ソフトSS概算見積_03062１営業修正" xfId="712" xr:uid="{00000000-0005-0000-0000-0000E5020000}"/>
    <cellStyle name="見積-桁区切り_WRS詳細設計書format(blue)_ソフトSS概算見積_03062１営業修正" xfId="713" xr:uid="{00000000-0005-0000-0000-0000E6020000}"/>
    <cellStyle name="見積桁区切り_WRS詳細設計書format(blue)_ソフトSS概算見積_03062１営業修正_＜3産2＞見積条件040127" xfId="714" xr:uid="{00000000-0005-0000-0000-0000E7020000}"/>
    <cellStyle name="見積-桁区切り_WRS詳細設計書format(blue)_ソフトSS概算見積_03062１営業修正_＜3産2＞見積条件040127" xfId="715" xr:uid="{00000000-0005-0000-0000-0000E8020000}"/>
    <cellStyle name="見積桁区切り_WRS詳細設計書format(blue)_ソフトSS概算見積_03062１営業修正_JITEC見積_03.10.1" xfId="716" xr:uid="{00000000-0005-0000-0000-0000E9020000}"/>
    <cellStyle name="見積-桁区切り_WRS詳細設計書format(blue)_ソフトSS概算見積_03062１営業修正_JITEC見積_03.10.1" xfId="717" xr:uid="{00000000-0005-0000-0000-0000EA020000}"/>
    <cellStyle name="見積桁区切り_WRS詳細設計書format(blue)_ソフトSS概算見積_03062１営業修正_JITEC見積_03.10.1_工数内訳" xfId="718" xr:uid="{00000000-0005-0000-0000-0000EB020000}"/>
    <cellStyle name="見積-桁区切り_WRS詳細設計書format(blue)_ソフトSS概算見積_03062１営業修正_JITEC見積_03.10.1_工数内訳" xfId="719" xr:uid="{00000000-0005-0000-0000-0000EC020000}"/>
    <cellStyle name="見積桁区切り_WRS詳細設計書format(blue)_ソフトSS概算見積_03062１営業修正_JITEC見積_03.9.28" xfId="720" xr:uid="{00000000-0005-0000-0000-0000ED020000}"/>
    <cellStyle name="見積-桁区切り_WRS詳細設計書format(blue)_ソフトSS概算見積_03062１営業修正_JITEC見積_03.9.28" xfId="721" xr:uid="{00000000-0005-0000-0000-0000EE020000}"/>
    <cellStyle name="見積桁区切り_WRS詳細設計書format(blue)_ソフトSS概算見積_03062１営業修正_ソフトSS概算見" xfId="722" xr:uid="{00000000-0005-0000-0000-0000EF020000}"/>
    <cellStyle name="見積-桁区切り_WRS詳細設計書format(blue)_ソフトSS概算見積_03062１営業修正_ソフトSS概算見" xfId="723" xr:uid="{00000000-0005-0000-0000-0000F0020000}"/>
    <cellStyle name="見積桁区切り_WRS詳細設計書format(blue)_ソフトSS概算見積_03062１営業修正_ソフトSS概算見_＜3産2＞見積条件040127" xfId="724" xr:uid="{00000000-0005-0000-0000-0000F1020000}"/>
    <cellStyle name="見積-桁区切り_WRS詳細設計書format(blue)_ソフトSS概算見積_03062１営業修正_ソフトSS概算見_＜3産2＞見積条件040127" xfId="725" xr:uid="{00000000-0005-0000-0000-0000F2020000}"/>
    <cellStyle name="見積桁区切り_WRS詳細設計書format(blue)_ソフトSS概算見積_03062１営業修正_ソフトSS概算見_JITEC見積_03.10.1" xfId="726" xr:uid="{00000000-0005-0000-0000-0000F3020000}"/>
    <cellStyle name="見積-桁区切り_WRS詳細設計書format(blue)_ソフトSS概算見積_03062１営業修正_ソフトSS概算見_JITEC見積_03.10.1" xfId="727" xr:uid="{00000000-0005-0000-0000-0000F4020000}"/>
    <cellStyle name="見積桁区切り_WRS詳細設計書format(blue)_ソフトSS概算見積_03062１営業修正_ソフトSS概算見_JITEC見積_03.10.1_工数内訳" xfId="728" xr:uid="{00000000-0005-0000-0000-0000F5020000}"/>
    <cellStyle name="見積-桁区切り_WRS詳細設計書format(blue)_ソフトSS概算見積_03062１営業修正_ソフトSS概算見_JITEC見積_03.10.1_工数内訳" xfId="729" xr:uid="{00000000-0005-0000-0000-0000F6020000}"/>
    <cellStyle name="見積桁区切り_WRS詳細設計書format(blue)_ソフトSS概算見積_03062１営業修正_ソフトSS概算見_JITEC見積_03.9.28" xfId="730" xr:uid="{00000000-0005-0000-0000-0000F7020000}"/>
    <cellStyle name="見積-桁区切り_WRS詳細設計書format(blue)_ソフトSS概算見積_03062１営業修正_ソフトSS概算見_JITEC見積_03.9.28" xfId="731" xr:uid="{00000000-0005-0000-0000-0000F8020000}"/>
    <cellStyle name="見積桁区切り_WRS詳細設計書format(blue)_ソフトSS概算見積_03062１営業修正_ソフトSS概算見_開発見積" xfId="732" xr:uid="{00000000-0005-0000-0000-0000F9020000}"/>
    <cellStyle name="見積-桁区切り_WRS詳細設計書format(blue)_ソフトSS概算見積_03062１営業修正_ソフトSS概算見_開発見積" xfId="733" xr:uid="{00000000-0005-0000-0000-0000FA020000}"/>
    <cellStyle name="見積桁区切り_WRS詳細設計書format(blue)_ソフトSS概算見積_03062１営業修正_開発見積" xfId="734" xr:uid="{00000000-0005-0000-0000-0000FB020000}"/>
    <cellStyle name="見積-桁区切り_WRS詳細設計書format(blue)_ソフトSS概算見積_03062１営業修正_開発見積" xfId="735" xr:uid="{00000000-0005-0000-0000-0000FC020000}"/>
    <cellStyle name="見積桁区切り_WRS詳細設計書format(blue)_ソフトSS概算見積_030627" xfId="736" xr:uid="{00000000-0005-0000-0000-0000FD020000}"/>
    <cellStyle name="見積-桁区切り_WRS詳細設計書format(blue)_ソフトSS概算見積_030627" xfId="737" xr:uid="{00000000-0005-0000-0000-0000FE020000}"/>
    <cellStyle name="見積桁区切り_WRS詳細設計書format(blue)_開発見積" xfId="738" xr:uid="{00000000-0005-0000-0000-0000FF020000}"/>
    <cellStyle name="見積-桁区切り_WRS詳細設計書format(blue)_開発見積" xfId="739" xr:uid="{00000000-0005-0000-0000-000000030000}"/>
    <cellStyle name="見積桁区切り_WRS詳細設計書format(blue)_自治体向けｻｲﾄ構築機能整理表_Ver2" xfId="740" xr:uid="{00000000-0005-0000-0000-000001030000}"/>
    <cellStyle name="見積-桁区切り_WRS詳細設計書format(blue)_自治体向けｻｲﾄ構築機能整理表_Ver2" xfId="741" xr:uid="{00000000-0005-0000-0000-000002030000}"/>
    <cellStyle name="見積桁区切り_WRS新卒全体ｽｹｼﾞｭｰﾙ" xfId="742" xr:uid="{00000000-0005-0000-0000-000003030000}"/>
    <cellStyle name="見積-桁区切り_WRS新卒全体ｽｹｼﾞｭｰﾙ" xfId="743" xr:uid="{00000000-0005-0000-0000-000004030000}"/>
    <cellStyle name="見積桁区切り_WRS新卒全体ｽｹｼﾞｭｰﾙ_＜3産2＞見積条件040127" xfId="744" xr:uid="{00000000-0005-0000-0000-000005030000}"/>
    <cellStyle name="見積-桁区切り_WRS新卒全体ｽｹｼﾞｭｰﾙ_＜3産2＞見積条件040127" xfId="745" xr:uid="{00000000-0005-0000-0000-000006030000}"/>
    <cellStyle name="見積桁区切り_WRS新卒全体ｽｹｼﾞｭｰﾙ_JITEC見積_03.10.1" xfId="746" xr:uid="{00000000-0005-0000-0000-000007030000}"/>
    <cellStyle name="見積-桁区切り_WRS新卒全体ｽｹｼﾞｭｰﾙ_JITEC見積_03.10.1" xfId="747" xr:uid="{00000000-0005-0000-0000-000008030000}"/>
    <cellStyle name="見積桁区切り_WRS新卒全体ｽｹｼﾞｭｰﾙ_JITEC見積_03.10.1_工数内訳" xfId="748" xr:uid="{00000000-0005-0000-0000-000009030000}"/>
    <cellStyle name="見積-桁区切り_WRS新卒全体ｽｹｼﾞｭｰﾙ_JITEC見積_03.10.1_工数内訳" xfId="749" xr:uid="{00000000-0005-0000-0000-00000A030000}"/>
    <cellStyle name="見積桁区切り_WRS新卒全体ｽｹｼﾞｭｰﾙ_JITEC見積_03.9.28" xfId="750" xr:uid="{00000000-0005-0000-0000-00000B030000}"/>
    <cellStyle name="見積-桁区切り_WRS新卒全体ｽｹｼﾞｭｰﾙ_JITEC見積_03.9.28" xfId="751" xr:uid="{00000000-0005-0000-0000-00000C030000}"/>
    <cellStyle name="見積桁区切り_WRS新卒全体ｽｹｼﾞｭｰﾙ_WRS新卒全体ｽｹｼﾞｭｰﾙ" xfId="752" xr:uid="{00000000-0005-0000-0000-00000D030000}"/>
    <cellStyle name="見積-桁区切り_WRS新卒全体ｽｹｼﾞｭｰﾙ_WRS新卒全体ｽｹｼﾞｭｰﾙ" xfId="753" xr:uid="{00000000-0005-0000-0000-00000E030000}"/>
    <cellStyle name="見積桁区切り_WRS新卒全体ｽｹｼﾞｭｰﾙ_WRS新卒全体ｽｹｼﾞｭｰﾙ_＜3産2＞見積条件040127" xfId="754" xr:uid="{00000000-0005-0000-0000-00000F030000}"/>
    <cellStyle name="見積-桁区切り_WRS新卒全体ｽｹｼﾞｭｰﾙ_WRS新卒全体ｽｹｼﾞｭｰﾙ_＜3産2＞見積条件040127" xfId="755" xr:uid="{00000000-0005-0000-0000-000010030000}"/>
    <cellStyle name="見積桁区切り_WRS新卒全体ｽｹｼﾞｭｰﾙ_WRS新卒全体ｽｹｼﾞｭｰﾙ_JITEC見積_03.10.1" xfId="756" xr:uid="{00000000-0005-0000-0000-000011030000}"/>
    <cellStyle name="見積-桁区切り_WRS新卒全体ｽｹｼﾞｭｰﾙ_WRS新卒全体ｽｹｼﾞｭｰﾙ_JITEC見積_03.10.1" xfId="757" xr:uid="{00000000-0005-0000-0000-000012030000}"/>
    <cellStyle name="見積桁区切り_WRS新卒全体ｽｹｼﾞｭｰﾙ_WRS新卒全体ｽｹｼﾞｭｰﾙ_JITEC見積_03.10.1_工数内訳" xfId="758" xr:uid="{00000000-0005-0000-0000-000013030000}"/>
    <cellStyle name="見積-桁区切り_WRS新卒全体ｽｹｼﾞｭｰﾙ_WRS新卒全体ｽｹｼﾞｭｰﾙ_JITEC見積_03.10.1_工数内訳" xfId="759" xr:uid="{00000000-0005-0000-0000-000014030000}"/>
    <cellStyle name="見積桁区切り_WRS新卒全体ｽｹｼﾞｭｰﾙ_WRS新卒全体ｽｹｼﾞｭｰﾙ_JITEC見積_03.9.28" xfId="760" xr:uid="{00000000-0005-0000-0000-000015030000}"/>
    <cellStyle name="見積-桁区切り_WRS新卒全体ｽｹｼﾞｭｰﾙ_WRS新卒全体ｽｹｼﾞｭｰﾙ_JITEC見積_03.9.28" xfId="761" xr:uid="{00000000-0005-0000-0000-000016030000}"/>
    <cellStyle name="見積桁区切り_WRS新卒全体ｽｹｼﾞｭｰﾙ_WRS新卒全体ｽｹｼﾞｭｰﾙ_WRS詳細設計書format(blue)" xfId="762" xr:uid="{00000000-0005-0000-0000-000017030000}"/>
    <cellStyle name="見積-桁区切り_WRS新卒全体ｽｹｼﾞｭｰﾙ_WRS新卒全体ｽｹｼﾞｭｰﾙ_WRS詳細設計書format(blue)" xfId="763" xr:uid="{00000000-0005-0000-0000-000018030000}"/>
    <cellStyle name="見積桁区切り_WRS新卒全体ｽｹｼﾞｭｰﾙ_WRS新卒全体ｽｹｼﾞｭｰﾙ_WRS詳細設計書format(blue)_＜3産2＞見積条件040127" xfId="764" xr:uid="{00000000-0005-0000-0000-000019030000}"/>
    <cellStyle name="見積-桁区切り_WRS新卒全体ｽｹｼﾞｭｰﾙ_WRS新卒全体ｽｹｼﾞｭｰﾙ_WRS詳細設計書format(blue)_＜3産2＞見積条件040127" xfId="765" xr:uid="{00000000-0005-0000-0000-00001A030000}"/>
    <cellStyle name="見積桁区切り_WRS新卒全体ｽｹｼﾞｭｰﾙ_WRS新卒全体ｽｹｼﾞｭｰﾙ_WRS詳細設計書format(blue)_JITEC見積_03.10.1" xfId="766" xr:uid="{00000000-0005-0000-0000-00001B030000}"/>
    <cellStyle name="見積-桁区切り_WRS新卒全体ｽｹｼﾞｭｰﾙ_WRS新卒全体ｽｹｼﾞｭｰﾙ_WRS詳細設計書format(blue)_JITEC見積_03.10.1" xfId="767" xr:uid="{00000000-0005-0000-0000-00001C030000}"/>
    <cellStyle name="見積桁区切り_WRS新卒全体ｽｹｼﾞｭｰﾙ_WRS新卒全体ｽｹｼﾞｭｰﾙ_WRS詳細設計書format(blue)_JITEC見積_03.10.1_工数内訳" xfId="768" xr:uid="{00000000-0005-0000-0000-00001D030000}"/>
    <cellStyle name="見積-桁区切り_WRS新卒全体ｽｹｼﾞｭｰﾙ_WRS新卒全体ｽｹｼﾞｭｰﾙ_WRS詳細設計書format(blue)_JITEC見積_03.10.1_工数内訳" xfId="769" xr:uid="{00000000-0005-0000-0000-00001E030000}"/>
    <cellStyle name="見積桁区切り_WRS新卒全体ｽｹｼﾞｭｰﾙ_WRS新卒全体ｽｹｼﾞｭｰﾙ_WRS詳細設計書format(blue)_JITEC見積_03.9.28" xfId="770" xr:uid="{00000000-0005-0000-0000-00001F030000}"/>
    <cellStyle name="見積-桁区切り_WRS新卒全体ｽｹｼﾞｭｰﾙ_WRS新卒全体ｽｹｼﾞｭｰﾙ_WRS詳細設計書format(blue)_JITEC見積_03.9.28" xfId="771" xr:uid="{00000000-0005-0000-0000-000020030000}"/>
    <cellStyle name="見積桁区切り_WRS新卒全体ｽｹｼﾞｭｰﾙ_WRS新卒全体ｽｹｼﾞｭｰﾙ_WRS詳細設計書format(blue)_ソフトSS概算見積_030620" xfId="772" xr:uid="{00000000-0005-0000-0000-000021030000}"/>
    <cellStyle name="見積-桁区切り_WRS新卒全体ｽｹｼﾞｭｰﾙ_WRS新卒全体ｽｹｼﾞｭｰﾙ_WRS詳細設計書format(blue)_ソフトSS概算見積_030620" xfId="773" xr:uid="{00000000-0005-0000-0000-000022030000}"/>
    <cellStyle name="見積桁区切り_WRS新卒全体ｽｹｼﾞｭｰﾙ_WRS新卒全体ｽｹｼﾞｭｰﾙ_WRS詳細設計書format(blue)_ソフトSS概算見積_030620_＜3産2＞見積条件040127" xfId="774" xr:uid="{00000000-0005-0000-0000-000023030000}"/>
    <cellStyle name="見積-桁区切り_WRS新卒全体ｽｹｼﾞｭｰﾙ_WRS新卒全体ｽｹｼﾞｭｰﾙ_WRS詳細設計書format(blue)_ソフトSS概算見積_030620_＜3産2＞見積条件040127" xfId="775" xr:uid="{00000000-0005-0000-0000-000024030000}"/>
    <cellStyle name="見積桁区切り_WRS新卒全体ｽｹｼﾞｭｰﾙ_WRS新卒全体ｽｹｼﾞｭｰﾙ_WRS詳細設計書format(blue)_ソフトSS概算見積_030620_1" xfId="776" xr:uid="{00000000-0005-0000-0000-000025030000}"/>
    <cellStyle name="見積-桁区切り_WRS新卒全体ｽｹｼﾞｭｰﾙ_WRS新卒全体ｽｹｼﾞｭｰﾙ_WRS詳細設計書format(blue)_ソフトSS概算見積_030620_1" xfId="777" xr:uid="{00000000-0005-0000-0000-000026030000}"/>
    <cellStyle name="見積桁区切り_WRS新卒全体ｽｹｼﾞｭｰﾙ_WRS新卒全体ｽｹｼﾞｭｰﾙ_WRS詳細設計書format(blue)_ソフトSS概算見積_030620_JITEC見積_03.10.1" xfId="778" xr:uid="{00000000-0005-0000-0000-000027030000}"/>
    <cellStyle name="見積-桁区切り_WRS新卒全体ｽｹｼﾞｭｰﾙ_WRS新卒全体ｽｹｼﾞｭｰﾙ_WRS詳細設計書format(blue)_ソフトSS概算見積_030620_JITEC見積_03.10.1" xfId="779" xr:uid="{00000000-0005-0000-0000-000028030000}"/>
    <cellStyle name="見積桁区切り_WRS新卒全体ｽｹｼﾞｭｰﾙ_WRS新卒全体ｽｹｼﾞｭｰﾙ_WRS詳細設計書format(blue)_ソフトSS概算見積_030620_JITEC見積_03.10.1_工数内訳" xfId="780" xr:uid="{00000000-0005-0000-0000-000029030000}"/>
    <cellStyle name="見積-桁区切り_WRS新卒全体ｽｹｼﾞｭｰﾙ_WRS新卒全体ｽｹｼﾞｭｰﾙ_WRS詳細設計書format(blue)_ソフトSS概算見積_030620_JITEC見積_03.10.1_工数内訳" xfId="781" xr:uid="{00000000-0005-0000-0000-00002A030000}"/>
    <cellStyle name="見積桁区切り_WRS新卒全体ｽｹｼﾞｭｰﾙ_WRS新卒全体ｽｹｼﾞｭｰﾙ_WRS詳細設計書format(blue)_ソフトSS概算見積_030620_JITEC見積_03.9.28" xfId="782" xr:uid="{00000000-0005-0000-0000-00002B030000}"/>
    <cellStyle name="見積-桁区切り_WRS新卒全体ｽｹｼﾞｭｰﾙ_WRS新卒全体ｽｹｼﾞｭｰﾙ_WRS詳細設計書format(blue)_ソフトSS概算見積_030620_JITEC見積_03.9.28" xfId="783" xr:uid="{00000000-0005-0000-0000-00002C030000}"/>
    <cellStyle name="見積桁区切り_WRS新卒全体ｽｹｼﾞｭｰﾙ_WRS新卒全体ｽｹｼﾞｭｰﾙ_WRS詳細設計書format(blue)_ソフトSS概算見積_030620_ソフトSS概算見" xfId="784" xr:uid="{00000000-0005-0000-0000-00002D030000}"/>
    <cellStyle name="見積-桁区切り_WRS新卒全体ｽｹｼﾞｭｰﾙ_WRS新卒全体ｽｹｼﾞｭｰﾙ_WRS詳細設計書format(blue)_ソフトSS概算見積_030620_ソフトSS概算見" xfId="785" xr:uid="{00000000-0005-0000-0000-00002E030000}"/>
    <cellStyle name="見積桁区切り_WRS新卒全体ｽｹｼﾞｭｰﾙ_WRS新卒全体ｽｹｼﾞｭｰﾙ_WRS詳細設計書format(blue)_ソフトSS概算見積_030620_ソフトSS概算見_＜3産2＞見積条件040127" xfId="786" xr:uid="{00000000-0005-0000-0000-00002F030000}"/>
    <cellStyle name="見積-桁区切り_WRS新卒全体ｽｹｼﾞｭｰﾙ_WRS新卒全体ｽｹｼﾞｭｰﾙ_WRS詳細設計書format(blue)_ソフトSS概算見積_030620_ソフトSS概算見_＜3産2＞見積条件040127" xfId="787" xr:uid="{00000000-0005-0000-0000-000030030000}"/>
    <cellStyle name="見積桁区切り_WRS新卒全体ｽｹｼﾞｭｰﾙ_WRS新卒全体ｽｹｼﾞｭｰﾙ_WRS詳細設計書format(blue)_ソフトSS概算見積_030620_ソフトSS概算見_JITEC見積_03.10.1" xfId="788" xr:uid="{00000000-0005-0000-0000-000031030000}"/>
    <cellStyle name="見積-桁区切り_WRS新卒全体ｽｹｼﾞｭｰﾙ_WRS新卒全体ｽｹｼﾞｭｰﾙ_WRS詳細設計書format(blue)_ソフトSS概算見積_030620_ソフトSS概算見_JITEC見積_03.10.1" xfId="789" xr:uid="{00000000-0005-0000-0000-000032030000}"/>
    <cellStyle name="見積桁区切り_WRS新卒全体ｽｹｼﾞｭｰﾙ_WRS新卒全体ｽｹｼﾞｭｰﾙ_WRS詳細設計書format(blue)_ソフトSS概算見積_030620_ソフトSS概算見_JITEC見積_03.10.1_工数内訳" xfId="790" xr:uid="{00000000-0005-0000-0000-000033030000}"/>
    <cellStyle name="見積-桁区切り_WRS新卒全体ｽｹｼﾞｭｰﾙ_WRS新卒全体ｽｹｼﾞｭｰﾙ_WRS詳細設計書format(blue)_ソフトSS概算見積_030620_ソフトSS概算見_JITEC見積_03.10.1_工数内訳" xfId="791" xr:uid="{00000000-0005-0000-0000-000034030000}"/>
    <cellStyle name="見積桁区切り_WRS新卒全体ｽｹｼﾞｭｰﾙ_WRS新卒全体ｽｹｼﾞｭｰﾙ_WRS詳細設計書format(blue)_ソフトSS概算見積_030620_ソフトSS概算見_JITEC見積_03.9.28" xfId="792" xr:uid="{00000000-0005-0000-0000-000035030000}"/>
    <cellStyle name="見積-桁区切り_WRS新卒全体ｽｹｼﾞｭｰﾙ_WRS新卒全体ｽｹｼﾞｭｰﾙ_WRS詳細設計書format(blue)_ソフトSS概算見積_030620_ソフトSS概算見_JITEC見積_03.9.28" xfId="793" xr:uid="{00000000-0005-0000-0000-000036030000}"/>
    <cellStyle name="見積桁区切り_WRS新卒全体ｽｹｼﾞｭｰﾙ_WRS新卒全体ｽｹｼﾞｭｰﾙ_WRS詳細設計書format(blue)_ソフトSS概算見積_030620_ソフトSS概算見_開発見積" xfId="794" xr:uid="{00000000-0005-0000-0000-000037030000}"/>
    <cellStyle name="見積-桁区切り_WRS新卒全体ｽｹｼﾞｭｰﾙ_WRS新卒全体ｽｹｼﾞｭｰﾙ_WRS詳細設計書format(blue)_ソフトSS概算見積_030620_ソフトSS概算見_開発見積" xfId="795" xr:uid="{00000000-0005-0000-0000-000038030000}"/>
    <cellStyle name="見積桁区切り_WRS新卒全体ｽｹｼﾞｭｰﾙ_WRS新卒全体ｽｹｼﾞｭｰﾙ_WRS詳細設計書format(blue)_ソフトSS概算見積_030620_ソフトSS概算見積_030620" xfId="796" xr:uid="{00000000-0005-0000-0000-000039030000}"/>
    <cellStyle name="見積-桁区切り_WRS新卒全体ｽｹｼﾞｭｰﾙ_WRS新卒全体ｽｹｼﾞｭｰﾙ_WRS詳細設計書format(blue)_ソフトSS概算見積_030620_ソフトSS概算見積_030620" xfId="797" xr:uid="{00000000-0005-0000-0000-00003A030000}"/>
    <cellStyle name="見積桁区切り_WRS新卒全体ｽｹｼﾞｭｰﾙ_WRS新卒全体ｽｹｼﾞｭｰﾙ_WRS詳細設計書format(blue)_ソフトSS概算見積_030620_ソフトSS概算見積_030627" xfId="798" xr:uid="{00000000-0005-0000-0000-00003B030000}"/>
    <cellStyle name="見積-桁区切り_WRS新卒全体ｽｹｼﾞｭｰﾙ_WRS新卒全体ｽｹｼﾞｭｰﾙ_WRS詳細設計書format(blue)_ソフトSS概算見積_030620_ソフトSS概算見積_030627" xfId="799" xr:uid="{00000000-0005-0000-0000-00003C030000}"/>
    <cellStyle name="見積桁区切り_WRS新卒全体ｽｹｼﾞｭｰﾙ_WRS新卒全体ｽｹｼﾞｭｰﾙ_WRS詳細設計書format(blue)_ソフトSS概算見積_030620_ソフトSS概算見積_030627_＜3産2＞見積条件040127" xfId="800" xr:uid="{00000000-0005-0000-0000-00003D030000}"/>
    <cellStyle name="見積-桁区切り_WRS新卒全体ｽｹｼﾞｭｰﾙ_WRS新卒全体ｽｹｼﾞｭｰﾙ_WRS詳細設計書format(blue)_ソフトSS概算見積_030620_ソフトSS概算見積_030627_＜3産2＞見積条件040127" xfId="801" xr:uid="{00000000-0005-0000-0000-00003E030000}"/>
    <cellStyle name="見積桁区切り_WRS新卒全体ｽｹｼﾞｭｰﾙ_WRS新卒全体ｽｹｼﾞｭｰﾙ_WRS詳細設計書format(blue)_ソフトSS概算見積_030620_ソフトSS概算見積_030627_1" xfId="802" xr:uid="{00000000-0005-0000-0000-00003F030000}"/>
    <cellStyle name="見積-桁区切り_WRS新卒全体ｽｹｼﾞｭｰﾙ_WRS新卒全体ｽｹｼﾞｭｰﾙ_WRS詳細設計書format(blue)_ソフトSS概算見積_030620_ソフトSS概算見積_030627_1" xfId="803" xr:uid="{00000000-0005-0000-0000-000040030000}"/>
    <cellStyle name="見積桁区切り_WRS新卒全体ｽｹｼﾞｭｰﾙ_WRS新卒全体ｽｹｼﾞｭｰﾙ_WRS詳細設計書format(blue)_ソフトSS概算見積_030620_ソフトSS概算見積_030627_JITEC見積_03.10.1" xfId="804" xr:uid="{00000000-0005-0000-0000-000041030000}"/>
    <cellStyle name="見積-桁区切り_WRS新卒全体ｽｹｼﾞｭｰﾙ_WRS新卒全体ｽｹｼﾞｭｰﾙ_WRS詳細設計書format(blue)_ソフトSS概算見積_030620_ソフトSS概算見積_030627_JITEC見積_03.10.1" xfId="805" xr:uid="{00000000-0005-0000-0000-000042030000}"/>
    <cellStyle name="見積桁区切り_WRS新卒全体ｽｹｼﾞｭｰﾙ_WRS新卒全体ｽｹｼﾞｭｰﾙ_WRS詳細設計書format(blue)_ソフトSS概算見積_030620_ソフトSS概算見積_030627_JITEC見積_03.10.1_工数内訳" xfId="806" xr:uid="{00000000-0005-0000-0000-000043030000}"/>
    <cellStyle name="見積-桁区切り_WRS新卒全体ｽｹｼﾞｭｰﾙ_WRS新卒全体ｽｹｼﾞｭｰﾙ_WRS詳細設計書format(blue)_ソフトSS概算見積_030620_ソフトSS概算見積_030627_JITEC見積_03.10.1_工数内訳" xfId="807" xr:uid="{00000000-0005-0000-0000-000044030000}"/>
    <cellStyle name="見積桁区切り_WRS新卒全体ｽｹｼﾞｭｰﾙ_WRS新卒全体ｽｹｼﾞｭｰﾙ_WRS詳細設計書format(blue)_ソフトSS概算見積_030620_ソフトSS概算見積_030627_JITEC見積_03.9.28" xfId="808" xr:uid="{00000000-0005-0000-0000-000045030000}"/>
    <cellStyle name="見積-桁区切り_WRS新卒全体ｽｹｼﾞｭｰﾙ_WRS新卒全体ｽｹｼﾞｭｰﾙ_WRS詳細設計書format(blue)_ソフトSS概算見積_030620_ソフトSS概算見積_030627_JITEC見積_03.9.28" xfId="809" xr:uid="{00000000-0005-0000-0000-000046030000}"/>
    <cellStyle name="見積桁区切り_WRS新卒全体ｽｹｼﾞｭｰﾙ_WRS新卒全体ｽｹｼﾞｭｰﾙ_WRS詳細設計書format(blue)_ソフトSS概算見積_030620_ソフトSS概算見積_030627_ソフトSS概算見積_030627" xfId="810" xr:uid="{00000000-0005-0000-0000-000047030000}"/>
    <cellStyle name="見積-桁区切り_WRS新卒全体ｽｹｼﾞｭｰﾙ_WRS新卒全体ｽｹｼﾞｭｰﾙ_WRS詳細設計書format(blue)_ソフトSS概算見積_030620_ソフトSS概算見積_030627_ソフトSS概算見積_030627" xfId="811" xr:uid="{00000000-0005-0000-0000-000048030000}"/>
    <cellStyle name="見積桁区切り_WRS新卒全体ｽｹｼﾞｭｰﾙ_WRS新卒全体ｽｹｼﾞｭｰﾙ_WRS詳細設計書format(blue)_ソフトSS概算見積_030620_ソフトSS概算見積_030627_開発見積" xfId="812" xr:uid="{00000000-0005-0000-0000-000049030000}"/>
    <cellStyle name="見積-桁区切り_WRS新卒全体ｽｹｼﾞｭｰﾙ_WRS新卒全体ｽｹｼﾞｭｰﾙ_WRS詳細設計書format(blue)_ソフトSS概算見積_030620_ソフトSS概算見積_030627_開発見積" xfId="813" xr:uid="{00000000-0005-0000-0000-00004A030000}"/>
    <cellStyle name="見積桁区切り_WRS新卒全体ｽｹｼﾞｭｰﾙ_WRS新卒全体ｽｹｼﾞｭｰﾙ_WRS詳細設計書format(blue)_ソフトSS概算見積_030620_開発見積" xfId="814" xr:uid="{00000000-0005-0000-0000-00004B030000}"/>
    <cellStyle name="見積-桁区切り_WRS新卒全体ｽｹｼﾞｭｰﾙ_WRS新卒全体ｽｹｼﾞｭｰﾙ_WRS詳細設計書format(blue)_ソフトSS概算見積_030620_開発見積" xfId="815" xr:uid="{00000000-0005-0000-0000-00004C030000}"/>
    <cellStyle name="見積桁区切り_WRS新卒全体ｽｹｼﾞｭｰﾙ_WRS新卒全体ｽｹｼﾞｭｰﾙ_WRS詳細設計書format(blue)_ソフトSS概算見積_03062１営業修正" xfId="816" xr:uid="{00000000-0005-0000-0000-00004D030000}"/>
    <cellStyle name="見積-桁区切り_WRS新卒全体ｽｹｼﾞｭｰﾙ_WRS新卒全体ｽｹｼﾞｭｰﾙ_WRS詳細設計書format(blue)_ソフトSS概算見積_03062１営業修正" xfId="817" xr:uid="{00000000-0005-0000-0000-00004E030000}"/>
    <cellStyle name="見積桁区切り_WRS新卒全体ｽｹｼﾞｭｰﾙ_WRS新卒全体ｽｹｼﾞｭｰﾙ_WRS詳細設計書format(blue)_ソフトSS概算見積_03062１営業修正_＜3産2＞見積条件040127" xfId="818" xr:uid="{00000000-0005-0000-0000-00004F030000}"/>
    <cellStyle name="見積-桁区切り_WRS新卒全体ｽｹｼﾞｭｰﾙ_WRS新卒全体ｽｹｼﾞｭｰﾙ_WRS詳細設計書format(blue)_ソフトSS概算見積_03062１営業修正_＜3産2＞見積条件040127" xfId="819" xr:uid="{00000000-0005-0000-0000-000050030000}"/>
    <cellStyle name="見積桁区切り_WRS新卒全体ｽｹｼﾞｭｰﾙ_WRS新卒全体ｽｹｼﾞｭｰﾙ_WRS詳細設計書format(blue)_ソフトSS概算見積_03062１営業修正_JITEC見積_03.10.1" xfId="820" xr:uid="{00000000-0005-0000-0000-000051030000}"/>
    <cellStyle name="見積-桁区切り_WRS新卒全体ｽｹｼﾞｭｰﾙ_WRS新卒全体ｽｹｼﾞｭｰﾙ_WRS詳細設計書format(blue)_ソフトSS概算見積_03062１営業修正_JITEC見積_03.10.1" xfId="821" xr:uid="{00000000-0005-0000-0000-000052030000}"/>
    <cellStyle name="見積桁区切り_WRS新卒全体ｽｹｼﾞｭｰﾙ_WRS新卒全体ｽｹｼﾞｭｰﾙ_WRS詳細設計書format(blue)_ソフトSS概算見積_03062１営業修正_JITEC見積_03.10.1_工数内訳" xfId="822" xr:uid="{00000000-0005-0000-0000-000053030000}"/>
    <cellStyle name="見積-桁区切り_WRS新卒全体ｽｹｼﾞｭｰﾙ_WRS新卒全体ｽｹｼﾞｭｰﾙ_WRS詳細設計書format(blue)_ソフトSS概算見積_03062１営業修正_JITEC見積_03.10.1_工数内訳" xfId="823" xr:uid="{00000000-0005-0000-0000-000054030000}"/>
    <cellStyle name="見積桁区切り_WRS新卒全体ｽｹｼﾞｭｰﾙ_WRS新卒全体ｽｹｼﾞｭｰﾙ_WRS詳細設計書format(blue)_ソフトSS概算見積_03062１営業修正_JITEC見積_03.9.28" xfId="824" xr:uid="{00000000-0005-0000-0000-000055030000}"/>
    <cellStyle name="見積-桁区切り_WRS新卒全体ｽｹｼﾞｭｰﾙ_WRS新卒全体ｽｹｼﾞｭｰﾙ_WRS詳細設計書format(blue)_ソフトSS概算見積_03062１営業修正_JITEC見積_03.9.28" xfId="825" xr:uid="{00000000-0005-0000-0000-000056030000}"/>
    <cellStyle name="見積桁区切り_WRS新卒全体ｽｹｼﾞｭｰﾙ_WRS新卒全体ｽｹｼﾞｭｰﾙ_WRS詳細設計書format(blue)_ソフトSS概算見積_03062１営業修正_ソフトSS概算見" xfId="826" xr:uid="{00000000-0005-0000-0000-000057030000}"/>
    <cellStyle name="見積-桁区切り_WRS新卒全体ｽｹｼﾞｭｰﾙ_WRS新卒全体ｽｹｼﾞｭｰﾙ_WRS詳細設計書format(blue)_ソフトSS概算見積_03062１営業修正_ソフトSS概算見" xfId="827" xr:uid="{00000000-0005-0000-0000-000058030000}"/>
    <cellStyle name="見積桁区切り_WRS新卒全体ｽｹｼﾞｭｰﾙ_WRS新卒全体ｽｹｼﾞｭｰﾙ_WRS詳細設計書format(blue)_ソフトSS概算見積_03062１営業修正_ソフトSS概算見_＜3産2＞見積条件040127" xfId="828" xr:uid="{00000000-0005-0000-0000-000059030000}"/>
    <cellStyle name="見積-桁区切り_WRS新卒全体ｽｹｼﾞｭｰﾙ_WRS新卒全体ｽｹｼﾞｭｰﾙ_WRS詳細設計書format(blue)_ソフトSS概算見積_03062１営業修正_ソフトSS概算見_＜3産2＞見積条件040127" xfId="829" xr:uid="{00000000-0005-0000-0000-00005A030000}"/>
    <cellStyle name="見積桁区切り_WRS新卒全体ｽｹｼﾞｭｰﾙ_WRS新卒全体ｽｹｼﾞｭｰﾙ_WRS詳細設計書format(blue)_ソフトSS概算見積_03062１営業修正_ソフトSS概算見_JITEC見積_03.10.1" xfId="830" xr:uid="{00000000-0005-0000-0000-00005B030000}"/>
    <cellStyle name="見積-桁区切り_WRS新卒全体ｽｹｼﾞｭｰﾙ_WRS新卒全体ｽｹｼﾞｭｰﾙ_WRS詳細設計書format(blue)_ソフトSS概算見積_03062１営業修正_ソフトSS概算見_JITEC見積_03.10.1" xfId="831" xr:uid="{00000000-0005-0000-0000-00005C030000}"/>
    <cellStyle name="見積桁区切り_WRS新卒全体ｽｹｼﾞｭｰﾙ_WRS新卒全体ｽｹｼﾞｭｰﾙ_WRS詳細設計書format(blue)_ソフトSS概算見積_03062１営業修正_ソフトSS概算見_JITEC見積_03.10.1_工数内訳" xfId="832" xr:uid="{00000000-0005-0000-0000-00005D030000}"/>
    <cellStyle name="見積-桁区切り_WRS新卒全体ｽｹｼﾞｭｰﾙ_WRS新卒全体ｽｹｼﾞｭｰﾙ_WRS詳細設計書format(blue)_ソフトSS概算見積_03062１営業修正_ソフトSS概算見_JITEC見積_03.10.1_工数内訳" xfId="833" xr:uid="{00000000-0005-0000-0000-00005E030000}"/>
    <cellStyle name="見積桁区切り_WRS新卒全体ｽｹｼﾞｭｰﾙ_WRS新卒全体ｽｹｼﾞｭｰﾙ_WRS詳細設計書format(blue)_ソフトSS概算見積_03062１営業修正_ソフトSS概算見_JITEC見積_03.9.28" xfId="834" xr:uid="{00000000-0005-0000-0000-00005F030000}"/>
    <cellStyle name="見積-桁区切り_WRS新卒全体ｽｹｼﾞｭｰﾙ_WRS新卒全体ｽｹｼﾞｭｰﾙ_WRS詳細設計書format(blue)_ソフトSS概算見積_03062１営業修正_ソフトSS概算見_JITEC見積_03.9.28" xfId="835" xr:uid="{00000000-0005-0000-0000-000060030000}"/>
    <cellStyle name="見積桁区切り_WRS新卒全体ｽｹｼﾞｭｰﾙ_WRS新卒全体ｽｹｼﾞｭｰﾙ_WRS詳細設計書format(blue)_ソフトSS概算見積_03062１営業修正_ソフトSS概算見_開発見積" xfId="836" xr:uid="{00000000-0005-0000-0000-000061030000}"/>
    <cellStyle name="見積-桁区切り_WRS新卒全体ｽｹｼﾞｭｰﾙ_WRS新卒全体ｽｹｼﾞｭｰﾙ_WRS詳細設計書format(blue)_ソフトSS概算見積_03062１営業修正_ソフトSS概算見_開発見積" xfId="837" xr:uid="{00000000-0005-0000-0000-000062030000}"/>
    <cellStyle name="見積桁区切り_WRS新卒全体ｽｹｼﾞｭｰﾙ_WRS新卒全体ｽｹｼﾞｭｰﾙ_WRS詳細設計書format(blue)_ソフトSS概算見積_03062１営業修正_開発見積" xfId="838" xr:uid="{00000000-0005-0000-0000-000063030000}"/>
    <cellStyle name="見積-桁区切り_WRS新卒全体ｽｹｼﾞｭｰﾙ_WRS新卒全体ｽｹｼﾞｭｰﾙ_WRS詳細設計書format(blue)_ソフトSS概算見積_03062１営業修正_開発見積" xfId="839" xr:uid="{00000000-0005-0000-0000-000064030000}"/>
    <cellStyle name="見積桁区切り_WRS新卒全体ｽｹｼﾞｭｰﾙ_WRS新卒全体ｽｹｼﾞｭｰﾙ_WRS詳細設計書format(blue)_ソフトSS概算見積_030627" xfId="840" xr:uid="{00000000-0005-0000-0000-000065030000}"/>
    <cellStyle name="見積-桁区切り_WRS新卒全体ｽｹｼﾞｭｰﾙ_WRS新卒全体ｽｹｼﾞｭｰﾙ_WRS詳細設計書format(blue)_ソフトSS概算見積_030627" xfId="841" xr:uid="{00000000-0005-0000-0000-000066030000}"/>
    <cellStyle name="見積桁区切り_WRS新卒全体ｽｹｼﾞｭｰﾙ_WRS新卒全体ｽｹｼﾞｭｰﾙ_WRS詳細設計書format(blue)_開発見積" xfId="842" xr:uid="{00000000-0005-0000-0000-000067030000}"/>
    <cellStyle name="見積-桁区切り_WRS新卒全体ｽｹｼﾞｭｰﾙ_WRS新卒全体ｽｹｼﾞｭｰﾙ_WRS詳細設計書format(blue)_開発見積" xfId="843" xr:uid="{00000000-0005-0000-0000-000068030000}"/>
    <cellStyle name="見積桁区切り_WRS新卒全体ｽｹｼﾞｭｰﾙ_WRS新卒全体ｽｹｼﾞｭｰﾙ_WRS詳細設計書format(blue)_自治体向けｻｲﾄ構築機能整理表_Ver2" xfId="844" xr:uid="{00000000-0005-0000-0000-000069030000}"/>
    <cellStyle name="見積-桁区切り_WRS新卒全体ｽｹｼﾞｭｰﾙ_WRS新卒全体ｽｹｼﾞｭｰﾙ_WRS詳細設計書format(blue)_自治体向けｻｲﾄ構築機能整理表_Ver2" xfId="845" xr:uid="{00000000-0005-0000-0000-00006A030000}"/>
    <cellStyle name="見積桁区切り_WRS新卒全体ｽｹｼﾞｭｰﾙ_WRS新卒全体ｽｹｼﾞｭｰﾙ_WRS新卒全体ｽｹｼﾞｭｰﾙ" xfId="846" xr:uid="{00000000-0005-0000-0000-00006B030000}"/>
    <cellStyle name="見積-桁区切り_WRS新卒全体ｽｹｼﾞｭｰﾙ_WRS新卒全体ｽｹｼﾞｭｰﾙ_WRS新卒全体ｽｹｼﾞｭｰﾙ" xfId="847" xr:uid="{00000000-0005-0000-0000-00006C030000}"/>
    <cellStyle name="見積桁区切り_WRS新卒全体ｽｹｼﾞｭｰﾙ_WRS新卒全体ｽｹｼﾞｭｰﾙ_WRS新卒全体ｽｹｼﾞｭｰﾙ_＜3産2＞見積条件040127" xfId="848" xr:uid="{00000000-0005-0000-0000-00006D030000}"/>
    <cellStyle name="見積-桁区切り_WRS新卒全体ｽｹｼﾞｭｰﾙ_WRS新卒全体ｽｹｼﾞｭｰﾙ_WRS新卒全体ｽｹｼﾞｭｰﾙ_＜3産2＞見積条件040127" xfId="849" xr:uid="{00000000-0005-0000-0000-00006E030000}"/>
    <cellStyle name="見積桁区切り_WRS新卒全体ｽｹｼﾞｭｰﾙ_WRS新卒全体ｽｹｼﾞｭｰﾙ_WRS新卒全体ｽｹｼﾞｭｰﾙ_JITEC見積_03.10.1" xfId="850" xr:uid="{00000000-0005-0000-0000-00006F030000}"/>
    <cellStyle name="見積-桁区切り_WRS新卒全体ｽｹｼﾞｭｰﾙ_WRS新卒全体ｽｹｼﾞｭｰﾙ_WRS新卒全体ｽｹｼﾞｭｰﾙ_JITEC見積_03.10.1" xfId="851" xr:uid="{00000000-0005-0000-0000-000070030000}"/>
    <cellStyle name="見積桁区切り_WRS新卒全体ｽｹｼﾞｭｰﾙ_WRS新卒全体ｽｹｼﾞｭｰﾙ_WRS新卒全体ｽｹｼﾞｭｰﾙ_JITEC見積_03.10.1_工数内訳" xfId="852" xr:uid="{00000000-0005-0000-0000-000071030000}"/>
    <cellStyle name="見積-桁区切り_WRS新卒全体ｽｹｼﾞｭｰﾙ_WRS新卒全体ｽｹｼﾞｭｰﾙ_WRS新卒全体ｽｹｼﾞｭｰﾙ_JITEC見積_03.10.1_工数内訳" xfId="853" xr:uid="{00000000-0005-0000-0000-000072030000}"/>
    <cellStyle name="見積桁区切り_WRS新卒全体ｽｹｼﾞｭｰﾙ_WRS新卒全体ｽｹｼﾞｭｰﾙ_WRS新卒全体ｽｹｼﾞｭｰﾙ_JITEC見積_03.9.28" xfId="854" xr:uid="{00000000-0005-0000-0000-000073030000}"/>
    <cellStyle name="見積-桁区切り_WRS新卒全体ｽｹｼﾞｭｰﾙ_WRS新卒全体ｽｹｼﾞｭｰﾙ_WRS新卒全体ｽｹｼﾞｭｰﾙ_JITEC見積_03.9.28" xfId="855" xr:uid="{00000000-0005-0000-0000-000074030000}"/>
    <cellStyle name="見積桁区切り_WRS新卒全体ｽｹｼﾞｭｰﾙ_WRS新卒全体ｽｹｼﾞｭｰﾙ_WRS新卒全体ｽｹｼﾞｭｰﾙ_ソフトSS概算見積_030620" xfId="856" xr:uid="{00000000-0005-0000-0000-000075030000}"/>
    <cellStyle name="見積-桁区切り_WRS新卒全体ｽｹｼﾞｭｰﾙ_WRS新卒全体ｽｹｼﾞｭｰﾙ_WRS新卒全体ｽｹｼﾞｭｰﾙ_ソフトSS概算見積_030620" xfId="857" xr:uid="{00000000-0005-0000-0000-000076030000}"/>
    <cellStyle name="見積桁区切り_WRS新卒全体ｽｹｼﾞｭｰﾙ_WRS新卒全体ｽｹｼﾞｭｰﾙ_WRS新卒全体ｽｹｼﾞｭｰﾙ_ソフトSS概算見積_030620_＜3産2＞見積条件040127" xfId="858" xr:uid="{00000000-0005-0000-0000-000077030000}"/>
    <cellStyle name="見積-桁区切り_WRS新卒全体ｽｹｼﾞｭｰﾙ_WRS新卒全体ｽｹｼﾞｭｰﾙ_WRS新卒全体ｽｹｼﾞｭｰﾙ_ソフトSS概算見積_030620_＜3産2＞見積条件040127" xfId="859" xr:uid="{00000000-0005-0000-0000-000078030000}"/>
    <cellStyle name="見積桁区切り_WRS新卒全体ｽｹｼﾞｭｰﾙ_WRS新卒全体ｽｹｼﾞｭｰﾙ_WRS新卒全体ｽｹｼﾞｭｰﾙ_ソフトSS概算見積_030620_1" xfId="860" xr:uid="{00000000-0005-0000-0000-000079030000}"/>
    <cellStyle name="見積-桁区切り_WRS新卒全体ｽｹｼﾞｭｰﾙ_WRS新卒全体ｽｹｼﾞｭｰﾙ_WRS新卒全体ｽｹｼﾞｭｰﾙ_ソフトSS概算見積_030620_1" xfId="861" xr:uid="{00000000-0005-0000-0000-00007A030000}"/>
    <cellStyle name="見積桁区切り_WRS新卒全体ｽｹｼﾞｭｰﾙ_WRS新卒全体ｽｹｼﾞｭｰﾙ_WRS新卒全体ｽｹｼﾞｭｰﾙ_ソフトSS概算見積_030620_JITEC見積_03.10.1" xfId="862" xr:uid="{00000000-0005-0000-0000-00007B030000}"/>
    <cellStyle name="見積-桁区切り_WRS新卒全体ｽｹｼﾞｭｰﾙ_WRS新卒全体ｽｹｼﾞｭｰﾙ_WRS新卒全体ｽｹｼﾞｭｰﾙ_ソフトSS概算見積_030620_JITEC見積_03.10.1" xfId="863" xr:uid="{00000000-0005-0000-0000-00007C030000}"/>
    <cellStyle name="見積桁区切り_WRS新卒全体ｽｹｼﾞｭｰﾙ_WRS新卒全体ｽｹｼﾞｭｰﾙ_WRS新卒全体ｽｹｼﾞｭｰﾙ_ソフトSS概算見積_030620_JITEC見積_03.10.1_工数内訳" xfId="864" xr:uid="{00000000-0005-0000-0000-00007D030000}"/>
    <cellStyle name="見積-桁区切り_WRS新卒全体ｽｹｼﾞｭｰﾙ_WRS新卒全体ｽｹｼﾞｭｰﾙ_WRS新卒全体ｽｹｼﾞｭｰﾙ_ソフトSS概算見積_030620_JITEC見積_03.10.1_工数内訳" xfId="865" xr:uid="{00000000-0005-0000-0000-00007E030000}"/>
    <cellStyle name="見積桁区切り_WRS新卒全体ｽｹｼﾞｭｰﾙ_WRS新卒全体ｽｹｼﾞｭｰﾙ_WRS新卒全体ｽｹｼﾞｭｰﾙ_ソフトSS概算見積_030620_JITEC見積_03.9.28" xfId="866" xr:uid="{00000000-0005-0000-0000-00007F030000}"/>
    <cellStyle name="見積-桁区切り_WRS新卒全体ｽｹｼﾞｭｰﾙ_WRS新卒全体ｽｹｼﾞｭｰﾙ_WRS新卒全体ｽｹｼﾞｭｰﾙ_ソフトSS概算見積_030620_JITEC見積_03.9.28" xfId="867" xr:uid="{00000000-0005-0000-0000-000080030000}"/>
    <cellStyle name="見積桁区切り_WRS新卒全体ｽｹｼﾞｭｰﾙ_WRS新卒全体ｽｹｼﾞｭｰﾙ_WRS新卒全体ｽｹｼﾞｭｰﾙ_ソフトSS概算見積_030620_ソフトSS概算見" xfId="868" xr:uid="{00000000-0005-0000-0000-000081030000}"/>
    <cellStyle name="見積-桁区切り_WRS新卒全体ｽｹｼﾞｭｰﾙ_WRS新卒全体ｽｹｼﾞｭｰﾙ_WRS新卒全体ｽｹｼﾞｭｰﾙ_ソフトSS概算見積_030620_ソフトSS概算見" xfId="869" xr:uid="{00000000-0005-0000-0000-000082030000}"/>
    <cellStyle name="見積桁区切り_WRS新卒全体ｽｹｼﾞｭｰﾙ_WRS新卒全体ｽｹｼﾞｭｰﾙ_WRS新卒全体ｽｹｼﾞｭｰﾙ_ソフトSS概算見積_030620_ソフトSS概算見_＜3産2＞見積条件040127" xfId="870" xr:uid="{00000000-0005-0000-0000-000083030000}"/>
    <cellStyle name="見積-桁区切り_WRS新卒全体ｽｹｼﾞｭｰﾙ_WRS新卒全体ｽｹｼﾞｭｰﾙ_WRS新卒全体ｽｹｼﾞｭｰﾙ_ソフトSS概算見積_030620_ソフトSS概算見_＜3産2＞見積条件040127" xfId="871" xr:uid="{00000000-0005-0000-0000-000084030000}"/>
    <cellStyle name="見積桁区切り_WRS新卒全体ｽｹｼﾞｭｰﾙ_WRS新卒全体ｽｹｼﾞｭｰﾙ_WRS新卒全体ｽｹｼﾞｭｰﾙ_ソフトSS概算見積_030620_ソフトSS概算見_JITEC見積_03.10.1" xfId="872" xr:uid="{00000000-0005-0000-0000-000085030000}"/>
    <cellStyle name="見積-桁区切り_WRS新卒全体ｽｹｼﾞｭｰﾙ_WRS新卒全体ｽｹｼﾞｭｰﾙ_WRS新卒全体ｽｹｼﾞｭｰﾙ_ソフトSS概算見積_030620_ソフトSS概算見_JITEC見積_03.10.1" xfId="873" xr:uid="{00000000-0005-0000-0000-000086030000}"/>
    <cellStyle name="見積桁区切り_WRS新卒全体ｽｹｼﾞｭｰﾙ_WRS新卒全体ｽｹｼﾞｭｰﾙ_WRS新卒全体ｽｹｼﾞｭｰﾙ_ソフトSS概算見積_030620_ソフトSS概算見_JITEC見積_03.10.1_工数内訳" xfId="874" xr:uid="{00000000-0005-0000-0000-000087030000}"/>
    <cellStyle name="見積-桁区切り_WRS新卒全体ｽｹｼﾞｭｰﾙ_WRS新卒全体ｽｹｼﾞｭｰﾙ_WRS新卒全体ｽｹｼﾞｭｰﾙ_ソフトSS概算見積_030620_ソフトSS概算見_JITEC見積_03.10.1_工数内訳" xfId="875" xr:uid="{00000000-0005-0000-0000-000088030000}"/>
    <cellStyle name="見積桁区切り_WRS新卒全体ｽｹｼﾞｭｰﾙ_WRS新卒全体ｽｹｼﾞｭｰﾙ_WRS新卒全体ｽｹｼﾞｭｰﾙ_ソフトSS概算見積_030620_ソフトSS概算見_JITEC見積_03.9.28" xfId="876" xr:uid="{00000000-0005-0000-0000-000089030000}"/>
    <cellStyle name="見積-桁区切り_WRS新卒全体ｽｹｼﾞｭｰﾙ_WRS新卒全体ｽｹｼﾞｭｰﾙ_WRS新卒全体ｽｹｼﾞｭｰﾙ_ソフトSS概算見積_030620_ソフトSS概算見_JITEC見積_03.9.28" xfId="877" xr:uid="{00000000-0005-0000-0000-00008A030000}"/>
    <cellStyle name="見積桁区切り_WRS新卒全体ｽｹｼﾞｭｰﾙ_WRS新卒全体ｽｹｼﾞｭｰﾙ_WRS新卒全体ｽｹｼﾞｭｰﾙ_ソフトSS概算見積_030620_ソフトSS概算見_開発見積" xfId="878" xr:uid="{00000000-0005-0000-0000-00008B030000}"/>
    <cellStyle name="見積-桁区切り_WRS新卒全体ｽｹｼﾞｭｰﾙ_WRS新卒全体ｽｹｼﾞｭｰﾙ_WRS新卒全体ｽｹｼﾞｭｰﾙ_ソフトSS概算見積_030620_ソフトSS概算見_開発見積" xfId="879" xr:uid="{00000000-0005-0000-0000-00008C030000}"/>
    <cellStyle name="見積桁区切り_WRS新卒全体ｽｹｼﾞｭｰﾙ_WRS新卒全体ｽｹｼﾞｭｰﾙ_WRS新卒全体ｽｹｼﾞｭｰﾙ_ソフトSS概算見積_030620_ソフトSS概算見積_030620" xfId="880" xr:uid="{00000000-0005-0000-0000-00008D030000}"/>
    <cellStyle name="見積-桁区切り_WRS新卒全体ｽｹｼﾞｭｰﾙ_WRS新卒全体ｽｹｼﾞｭｰﾙ_WRS新卒全体ｽｹｼﾞｭｰﾙ_ソフトSS概算見積_030620_ソフトSS概算見積_030620" xfId="881" xr:uid="{00000000-0005-0000-0000-00008E030000}"/>
    <cellStyle name="見積桁区切り_WRS新卒全体ｽｹｼﾞｭｰﾙ_WRS新卒全体ｽｹｼﾞｭｰﾙ_WRS新卒全体ｽｹｼﾞｭｰﾙ_ソフトSS概算見積_030620_ソフトSS概算見積_030627" xfId="882" xr:uid="{00000000-0005-0000-0000-00008F030000}"/>
    <cellStyle name="見積-桁区切り_WRS新卒全体ｽｹｼﾞｭｰﾙ_WRS新卒全体ｽｹｼﾞｭｰﾙ_WRS新卒全体ｽｹｼﾞｭｰﾙ_ソフトSS概算見積_030620_ソフトSS概算見積_030627" xfId="883" xr:uid="{00000000-0005-0000-0000-000090030000}"/>
    <cellStyle name="見積桁区切り_WRS新卒全体ｽｹｼﾞｭｰﾙ_WRS新卒全体ｽｹｼﾞｭｰﾙ_WRS新卒全体ｽｹｼﾞｭｰﾙ_ソフトSS概算見積_030620_ソフトSS概算見積_030627_＜3産2＞見積条件040127" xfId="884" xr:uid="{00000000-0005-0000-0000-000091030000}"/>
    <cellStyle name="見積-桁区切り_WRS新卒全体ｽｹｼﾞｭｰﾙ_WRS新卒全体ｽｹｼﾞｭｰﾙ_WRS新卒全体ｽｹｼﾞｭｰﾙ_ソフトSS概算見積_030620_ソフトSS概算見積_030627_＜3産2＞見積条件040127" xfId="885" xr:uid="{00000000-0005-0000-0000-000092030000}"/>
    <cellStyle name="見積桁区切り_WRS新卒全体ｽｹｼﾞｭｰﾙ_WRS新卒全体ｽｹｼﾞｭｰﾙ_WRS新卒全体ｽｹｼﾞｭｰﾙ_ソフトSS概算見積_030620_ソフトSS概算見積_030627_1" xfId="886" xr:uid="{00000000-0005-0000-0000-000093030000}"/>
    <cellStyle name="見積-桁区切り_WRS新卒全体ｽｹｼﾞｭｰﾙ_WRS新卒全体ｽｹｼﾞｭｰﾙ_WRS新卒全体ｽｹｼﾞｭｰﾙ_ソフトSS概算見積_030620_ソフトSS概算見積_030627_1" xfId="887" xr:uid="{00000000-0005-0000-0000-000094030000}"/>
    <cellStyle name="見積桁区切り_WRS新卒全体ｽｹｼﾞｭｰﾙ_WRS新卒全体ｽｹｼﾞｭｰﾙ_WRS新卒全体ｽｹｼﾞｭｰﾙ_ソフトSS概算見積_030620_ソフトSS概算見積_030627_JITEC見積_03.10.1" xfId="888" xr:uid="{00000000-0005-0000-0000-000095030000}"/>
    <cellStyle name="見積-桁区切り_WRS新卒全体ｽｹｼﾞｭｰﾙ_WRS新卒全体ｽｹｼﾞｭｰﾙ_WRS新卒全体ｽｹｼﾞｭｰﾙ_ソフトSS概算見積_030620_ソフトSS概算見積_030627_JITEC見積_03.10.1" xfId="889" xr:uid="{00000000-0005-0000-0000-000096030000}"/>
    <cellStyle name="見積桁区切り_WRS新卒全体ｽｹｼﾞｭｰﾙ_WRS新卒全体ｽｹｼﾞｭｰﾙ_WRS新卒全体ｽｹｼﾞｭｰﾙ_ソフトSS概算見積_030620_ソフトSS概算見積_030627_JITEC見積_03.10.1_工数内訳" xfId="890" xr:uid="{00000000-0005-0000-0000-000097030000}"/>
    <cellStyle name="見積-桁区切り_WRS新卒全体ｽｹｼﾞｭｰﾙ_WRS新卒全体ｽｹｼﾞｭｰﾙ_WRS新卒全体ｽｹｼﾞｭｰﾙ_ソフトSS概算見積_030620_ソフトSS概算見積_030627_JITEC見積_03.10.1_工数内訳" xfId="891" xr:uid="{00000000-0005-0000-0000-000098030000}"/>
    <cellStyle name="見積桁区切り_WRS新卒全体ｽｹｼﾞｭｰﾙ_WRS新卒全体ｽｹｼﾞｭｰﾙ_WRS新卒全体ｽｹｼﾞｭｰﾙ_ソフトSS概算見積_030620_ソフトSS概算見積_030627_JITEC見積_03.9.28" xfId="892" xr:uid="{00000000-0005-0000-0000-000099030000}"/>
    <cellStyle name="見積-桁区切り_WRS新卒全体ｽｹｼﾞｭｰﾙ_WRS新卒全体ｽｹｼﾞｭｰﾙ_WRS新卒全体ｽｹｼﾞｭｰﾙ_ソフトSS概算見積_030620_ソフトSS概算見積_030627_JITEC見積_03.9.28" xfId="893" xr:uid="{00000000-0005-0000-0000-00009A030000}"/>
    <cellStyle name="見積桁区切り_WRS新卒全体ｽｹｼﾞｭｰﾙ_WRS新卒全体ｽｹｼﾞｭｰﾙ_WRS新卒全体ｽｹｼﾞｭｰﾙ_ソフトSS概算見積_030620_ソフトSS概算見積_030627_ソフトSS概算見積_030627" xfId="894" xr:uid="{00000000-0005-0000-0000-00009B030000}"/>
    <cellStyle name="見積-桁区切り_WRS新卒全体ｽｹｼﾞｭｰﾙ_WRS新卒全体ｽｹｼﾞｭｰﾙ_WRS新卒全体ｽｹｼﾞｭｰﾙ_ソフトSS概算見積_030620_ソフトSS概算見積_030627_ソフトSS概算見積_030627" xfId="895" xr:uid="{00000000-0005-0000-0000-00009C030000}"/>
    <cellStyle name="見積桁区切り_WRS新卒全体ｽｹｼﾞｭｰﾙ_WRS新卒全体ｽｹｼﾞｭｰﾙ_WRS新卒全体ｽｹｼﾞｭｰﾙ_ソフトSS概算見積_030620_ソフトSS概算見積_030627_開発見積" xfId="896" xr:uid="{00000000-0005-0000-0000-00009D030000}"/>
    <cellStyle name="見積-桁区切り_WRS新卒全体ｽｹｼﾞｭｰﾙ_WRS新卒全体ｽｹｼﾞｭｰﾙ_WRS新卒全体ｽｹｼﾞｭｰﾙ_ソフトSS概算見積_030620_ソフトSS概算見積_030627_開発見積" xfId="897" xr:uid="{00000000-0005-0000-0000-00009E030000}"/>
    <cellStyle name="見積桁区切り_WRS新卒全体ｽｹｼﾞｭｰﾙ_WRS新卒全体ｽｹｼﾞｭｰﾙ_WRS新卒全体ｽｹｼﾞｭｰﾙ_ソフトSS概算見積_030620_開発見積" xfId="898" xr:uid="{00000000-0005-0000-0000-00009F030000}"/>
    <cellStyle name="見積-桁区切り_WRS新卒全体ｽｹｼﾞｭｰﾙ_WRS新卒全体ｽｹｼﾞｭｰﾙ_WRS新卒全体ｽｹｼﾞｭｰﾙ_ソフトSS概算見積_030620_開発見積" xfId="899" xr:uid="{00000000-0005-0000-0000-0000A0030000}"/>
    <cellStyle name="見積桁区切り_WRS新卒全体ｽｹｼﾞｭｰﾙ_WRS新卒全体ｽｹｼﾞｭｰﾙ_WRS新卒全体ｽｹｼﾞｭｰﾙ_ソフトSS概算見積_03062１営業修正" xfId="900" xr:uid="{00000000-0005-0000-0000-0000A1030000}"/>
    <cellStyle name="見積-桁区切り_WRS新卒全体ｽｹｼﾞｭｰﾙ_WRS新卒全体ｽｹｼﾞｭｰﾙ_WRS新卒全体ｽｹｼﾞｭｰﾙ_ソフトSS概算見積_03062１営業修正" xfId="901" xr:uid="{00000000-0005-0000-0000-0000A2030000}"/>
    <cellStyle name="見積桁区切り_WRS新卒全体ｽｹｼﾞｭｰﾙ_WRS新卒全体ｽｹｼﾞｭｰﾙ_WRS新卒全体ｽｹｼﾞｭｰﾙ_ソフトSS概算見積_03062１営業修正_＜3産2＞見積条件040127" xfId="902" xr:uid="{00000000-0005-0000-0000-0000A3030000}"/>
    <cellStyle name="見積-桁区切り_WRS新卒全体ｽｹｼﾞｭｰﾙ_WRS新卒全体ｽｹｼﾞｭｰﾙ_WRS新卒全体ｽｹｼﾞｭｰﾙ_ソフトSS概算見積_03062１営業修正_＜3産2＞見積条件040127" xfId="903" xr:uid="{00000000-0005-0000-0000-0000A4030000}"/>
    <cellStyle name="見積桁区切り_WRS新卒全体ｽｹｼﾞｭｰﾙ_WRS新卒全体ｽｹｼﾞｭｰﾙ_WRS新卒全体ｽｹｼﾞｭｰﾙ_ソフトSS概算見積_03062１営業修正_JITEC見積_03.10.1" xfId="904" xr:uid="{00000000-0005-0000-0000-0000A5030000}"/>
    <cellStyle name="見積-桁区切り_WRS新卒全体ｽｹｼﾞｭｰﾙ_WRS新卒全体ｽｹｼﾞｭｰﾙ_WRS新卒全体ｽｹｼﾞｭｰﾙ_ソフトSS概算見積_03062１営業修正_JITEC見積_03.10.1" xfId="905" xr:uid="{00000000-0005-0000-0000-0000A6030000}"/>
    <cellStyle name="見積桁区切り_WRS新卒全体ｽｹｼﾞｭｰﾙ_WRS新卒全体ｽｹｼﾞｭｰﾙ_WRS新卒全体ｽｹｼﾞｭｰﾙ_ソフトSS概算見積_03062１営業修正_JITEC見積_03.10.1_工数内訳" xfId="906" xr:uid="{00000000-0005-0000-0000-0000A7030000}"/>
    <cellStyle name="見積-桁区切り_WRS新卒全体ｽｹｼﾞｭｰﾙ_WRS新卒全体ｽｹｼﾞｭｰﾙ_WRS新卒全体ｽｹｼﾞｭｰﾙ_ソフトSS概算見積_03062１営業修正_JITEC見積_03.10.1_工数内訳" xfId="907" xr:uid="{00000000-0005-0000-0000-0000A8030000}"/>
    <cellStyle name="見積桁区切り_WRS新卒全体ｽｹｼﾞｭｰﾙ_WRS新卒全体ｽｹｼﾞｭｰﾙ_WRS新卒全体ｽｹｼﾞｭｰﾙ_ソフトSS概算見積_03062１営業修正_JITEC見積_03.9.28" xfId="908" xr:uid="{00000000-0005-0000-0000-0000A9030000}"/>
    <cellStyle name="見積-桁区切り_WRS新卒全体ｽｹｼﾞｭｰﾙ_WRS新卒全体ｽｹｼﾞｭｰﾙ_WRS新卒全体ｽｹｼﾞｭｰﾙ_ソフトSS概算見積_03062１営業修正_JITEC見積_03.9.28" xfId="909" xr:uid="{00000000-0005-0000-0000-0000AA030000}"/>
    <cellStyle name="見積桁区切り_WRS新卒全体ｽｹｼﾞｭｰﾙ_WRS新卒全体ｽｹｼﾞｭｰﾙ_WRS新卒全体ｽｹｼﾞｭｰﾙ_ソフトSS概算見積_03062１営業修正_ソフトSS概算見" xfId="910" xr:uid="{00000000-0005-0000-0000-0000AB030000}"/>
    <cellStyle name="見積-桁区切り_WRS新卒全体ｽｹｼﾞｭｰﾙ_WRS新卒全体ｽｹｼﾞｭｰﾙ_WRS新卒全体ｽｹｼﾞｭｰﾙ_ソフトSS概算見積_03062１営業修正_ソフトSS概算見" xfId="911" xr:uid="{00000000-0005-0000-0000-0000AC030000}"/>
    <cellStyle name="見積桁区切り_WRS新卒全体ｽｹｼﾞｭｰﾙ_WRS新卒全体ｽｹｼﾞｭｰﾙ_WRS新卒全体ｽｹｼﾞｭｰﾙ_ソフトSS概算見積_03062１営業修正_ソフトSS概算見_＜3産2＞見積条件040127" xfId="912" xr:uid="{00000000-0005-0000-0000-0000AD030000}"/>
    <cellStyle name="見積-桁区切り_WRS新卒全体ｽｹｼﾞｭｰﾙ_WRS新卒全体ｽｹｼﾞｭｰﾙ_WRS新卒全体ｽｹｼﾞｭｰﾙ_ソフトSS概算見積_03062１営業修正_ソフトSS概算見_＜3産2＞見積条件040127" xfId="913" xr:uid="{00000000-0005-0000-0000-0000AE030000}"/>
    <cellStyle name="見積桁区切り_WRS新卒全体ｽｹｼﾞｭｰﾙ_WRS新卒全体ｽｹｼﾞｭｰﾙ_WRS新卒全体ｽｹｼﾞｭｰﾙ_ソフトSS概算見積_03062１営業修正_ソフトSS概算見_JITEC見積_03.10.1" xfId="914" xr:uid="{00000000-0005-0000-0000-0000AF030000}"/>
    <cellStyle name="見積-桁区切り_WRS新卒全体ｽｹｼﾞｭｰﾙ_WRS新卒全体ｽｹｼﾞｭｰﾙ_WRS新卒全体ｽｹｼﾞｭｰﾙ_ソフトSS概算見積_03062１営業修正_ソフトSS概算見_JITEC見積_03.10.1" xfId="915" xr:uid="{00000000-0005-0000-0000-0000B0030000}"/>
    <cellStyle name="見積桁区切り_WRS新卒全体ｽｹｼﾞｭｰﾙ_WRS新卒全体ｽｹｼﾞｭｰﾙ_WRS新卒全体ｽｹｼﾞｭｰﾙ_ソフトSS概算見積_03062１営業修正_ソフトSS概算見_JITEC見積_03.10.1_工数内訳" xfId="916" xr:uid="{00000000-0005-0000-0000-0000B1030000}"/>
    <cellStyle name="見積-桁区切り_WRS新卒全体ｽｹｼﾞｭｰﾙ_WRS新卒全体ｽｹｼﾞｭｰﾙ_WRS新卒全体ｽｹｼﾞｭｰﾙ_ソフトSS概算見積_03062１営業修正_ソフトSS概算見_JITEC見積_03.10.1_工数内訳" xfId="917" xr:uid="{00000000-0005-0000-0000-0000B2030000}"/>
    <cellStyle name="見積桁区切り_WRS新卒全体ｽｹｼﾞｭｰﾙ_WRS新卒全体ｽｹｼﾞｭｰﾙ_WRS新卒全体ｽｹｼﾞｭｰﾙ_ソフトSS概算見積_03062１営業修正_ソフトSS概算見_JITEC見積_03.9.28" xfId="918" xr:uid="{00000000-0005-0000-0000-0000B3030000}"/>
    <cellStyle name="見積-桁区切り_WRS新卒全体ｽｹｼﾞｭｰﾙ_WRS新卒全体ｽｹｼﾞｭｰﾙ_WRS新卒全体ｽｹｼﾞｭｰﾙ_ソフトSS概算見積_03062１営業修正_ソフトSS概算見_JITEC見積_03.9.28" xfId="919" xr:uid="{00000000-0005-0000-0000-0000B4030000}"/>
    <cellStyle name="見積桁区切り_WRS新卒全体ｽｹｼﾞｭｰﾙ_WRS新卒全体ｽｹｼﾞｭｰﾙ_WRS新卒全体ｽｹｼﾞｭｰﾙ_ソフトSS概算見積_03062１営業修正_ソフトSS概算見_開発見積" xfId="920" xr:uid="{00000000-0005-0000-0000-0000B5030000}"/>
    <cellStyle name="見積-桁区切り_WRS新卒全体ｽｹｼﾞｭｰﾙ_WRS新卒全体ｽｹｼﾞｭｰﾙ_WRS新卒全体ｽｹｼﾞｭｰﾙ_ソフトSS概算見積_03062１営業修正_ソフトSS概算見_開発見積" xfId="921" xr:uid="{00000000-0005-0000-0000-0000B6030000}"/>
    <cellStyle name="見積桁区切り_WRS新卒全体ｽｹｼﾞｭｰﾙ_WRS新卒全体ｽｹｼﾞｭｰﾙ_WRS新卒全体ｽｹｼﾞｭｰﾙ_ソフトSS概算見積_03062１営業修正_開発見積" xfId="922" xr:uid="{00000000-0005-0000-0000-0000B7030000}"/>
    <cellStyle name="見積-桁区切り_WRS新卒全体ｽｹｼﾞｭｰﾙ_WRS新卒全体ｽｹｼﾞｭｰﾙ_WRS新卒全体ｽｹｼﾞｭｰﾙ_ソフトSS概算見積_03062１営業修正_開発見積" xfId="923" xr:uid="{00000000-0005-0000-0000-0000B8030000}"/>
    <cellStyle name="見積桁区切り_WRS新卒全体ｽｹｼﾞｭｰﾙ_WRS新卒全体ｽｹｼﾞｭｰﾙ_WRS新卒全体ｽｹｼﾞｭｰﾙ_ソフトSS概算見積_030627" xfId="924" xr:uid="{00000000-0005-0000-0000-0000B9030000}"/>
    <cellStyle name="見積-桁区切り_WRS新卒全体ｽｹｼﾞｭｰﾙ_WRS新卒全体ｽｹｼﾞｭｰﾙ_WRS新卒全体ｽｹｼﾞｭｰﾙ_ソフトSS概算見積_030627" xfId="925" xr:uid="{00000000-0005-0000-0000-0000BA030000}"/>
    <cellStyle name="見積桁区切り_WRS新卒全体ｽｹｼﾞｭｰﾙ_WRS新卒全体ｽｹｼﾞｭｰﾙ_WRS新卒全体ｽｹｼﾞｭｰﾙ_開発見積" xfId="926" xr:uid="{00000000-0005-0000-0000-0000BB030000}"/>
    <cellStyle name="見積-桁区切り_WRS新卒全体ｽｹｼﾞｭｰﾙ_WRS新卒全体ｽｹｼﾞｭｰﾙ_WRS新卒全体ｽｹｼﾞｭｰﾙ_開発見積" xfId="927" xr:uid="{00000000-0005-0000-0000-0000BC030000}"/>
    <cellStyle name="見積桁区切り_WRS新卒全体ｽｹｼﾞｭｰﾙ_WRS新卒全体ｽｹｼﾞｭｰﾙ_WRS新卒全体ｽｹｼﾞｭｰﾙ_自治体向けｻｲﾄ構築機能整理表_Ver2" xfId="928" xr:uid="{00000000-0005-0000-0000-0000BD030000}"/>
    <cellStyle name="見積-桁区切り_WRS新卒全体ｽｹｼﾞｭｰﾙ_WRS新卒全体ｽｹｼﾞｭｰﾙ_WRS新卒全体ｽｹｼﾞｭｰﾙ_自治体向けｻｲﾄ構築機能整理表_Ver2" xfId="929" xr:uid="{00000000-0005-0000-0000-0000BE030000}"/>
    <cellStyle name="見積桁区切り_WRS新卒全体ｽｹｼﾞｭｰﾙ_WRS新卒全体ｽｹｼﾞｭｰﾙ_WRS新卒全体ｽｹｼﾞｭｰﾙ_提示版" xfId="930" xr:uid="{00000000-0005-0000-0000-0000BF030000}"/>
    <cellStyle name="見積-桁区切り_WRS新卒全体ｽｹｼﾞｭｰﾙ_WRS新卒全体ｽｹｼﾞｭｰﾙ_WRS新卒全体ｽｹｼﾞｭｰﾙ_提示版" xfId="931" xr:uid="{00000000-0005-0000-0000-0000C0030000}"/>
    <cellStyle name="見積桁区切り_WRS新卒全体ｽｹｼﾞｭｰﾙ_WRS新卒全体ｽｹｼﾞｭｰﾙ_WRS新卒全体ｽｹｼﾞｭｰﾙ_提示版_＜3産2＞見積条件040127" xfId="932" xr:uid="{00000000-0005-0000-0000-0000C1030000}"/>
    <cellStyle name="見積-桁区切り_WRS新卒全体ｽｹｼﾞｭｰﾙ_WRS新卒全体ｽｹｼﾞｭｰﾙ_WRS新卒全体ｽｹｼﾞｭｰﾙ_提示版_＜3産2＞見積条件040127" xfId="933" xr:uid="{00000000-0005-0000-0000-0000C2030000}"/>
    <cellStyle name="見積桁区切り_WRS新卒全体ｽｹｼﾞｭｰﾙ_WRS新卒全体ｽｹｼﾞｭｰﾙ_WRS新卒全体ｽｹｼﾞｭｰﾙ_提示版_JITEC見積_03.10.1" xfId="934" xr:uid="{00000000-0005-0000-0000-0000C3030000}"/>
    <cellStyle name="見積-桁区切り_WRS新卒全体ｽｹｼﾞｭｰﾙ_WRS新卒全体ｽｹｼﾞｭｰﾙ_WRS新卒全体ｽｹｼﾞｭｰﾙ_提示版_JITEC見積_03.10.1" xfId="935" xr:uid="{00000000-0005-0000-0000-0000C4030000}"/>
    <cellStyle name="見積桁区切り_WRS新卒全体ｽｹｼﾞｭｰﾙ_WRS新卒全体ｽｹｼﾞｭｰﾙ_WRS新卒全体ｽｹｼﾞｭｰﾙ_提示版_JITEC見積_03.10.1_工数内訳" xfId="936" xr:uid="{00000000-0005-0000-0000-0000C5030000}"/>
    <cellStyle name="見積-桁区切り_WRS新卒全体ｽｹｼﾞｭｰﾙ_WRS新卒全体ｽｹｼﾞｭｰﾙ_WRS新卒全体ｽｹｼﾞｭｰﾙ_提示版_JITEC見積_03.10.1_工数内訳" xfId="937" xr:uid="{00000000-0005-0000-0000-0000C6030000}"/>
    <cellStyle name="見積桁区切り_WRS新卒全体ｽｹｼﾞｭｰﾙ_WRS新卒全体ｽｹｼﾞｭｰﾙ_WRS新卒全体ｽｹｼﾞｭｰﾙ_提示版_JITEC見積_03.9.28" xfId="938" xr:uid="{00000000-0005-0000-0000-0000C7030000}"/>
    <cellStyle name="見積-桁区切り_WRS新卒全体ｽｹｼﾞｭｰﾙ_WRS新卒全体ｽｹｼﾞｭｰﾙ_WRS新卒全体ｽｹｼﾞｭｰﾙ_提示版_JITEC見積_03.9.28" xfId="939" xr:uid="{00000000-0005-0000-0000-0000C8030000}"/>
    <cellStyle name="見積桁区切り_WRS新卒全体ｽｹｼﾞｭｰﾙ_WRS新卒全体ｽｹｼﾞｭｰﾙ_WRS新卒全体ｽｹｼﾞｭｰﾙ_提示版_ソフトSS概算見積_030620" xfId="940" xr:uid="{00000000-0005-0000-0000-0000C9030000}"/>
    <cellStyle name="見積-桁区切り_WRS新卒全体ｽｹｼﾞｭｰﾙ_WRS新卒全体ｽｹｼﾞｭｰﾙ_WRS新卒全体ｽｹｼﾞｭｰﾙ_提示版_ソフトSS概算見積_030620" xfId="941" xr:uid="{00000000-0005-0000-0000-0000CA030000}"/>
    <cellStyle name="見積桁区切り_WRS新卒全体ｽｹｼﾞｭｰﾙ_WRS新卒全体ｽｹｼﾞｭｰﾙ_WRS新卒全体ｽｹｼﾞｭｰﾙ_提示版_ソフトSS概算見積_030620_＜3産2＞見積条件040127" xfId="942" xr:uid="{00000000-0005-0000-0000-0000CB030000}"/>
    <cellStyle name="見積-桁区切り_WRS新卒全体ｽｹｼﾞｭｰﾙ_WRS新卒全体ｽｹｼﾞｭｰﾙ_WRS新卒全体ｽｹｼﾞｭｰﾙ_提示版_ソフトSS概算見積_030620_＜3産2＞見積条件040127" xfId="943" xr:uid="{00000000-0005-0000-0000-0000CC030000}"/>
    <cellStyle name="見積桁区切り_WRS新卒全体ｽｹｼﾞｭｰﾙ_WRS新卒全体ｽｹｼﾞｭｰﾙ_WRS新卒全体ｽｹｼﾞｭｰﾙ_提示版_ソフトSS概算見積_030620_1" xfId="944" xr:uid="{00000000-0005-0000-0000-0000CD030000}"/>
    <cellStyle name="見積-桁区切り_WRS新卒全体ｽｹｼﾞｭｰﾙ_WRS新卒全体ｽｹｼﾞｭｰﾙ_WRS新卒全体ｽｹｼﾞｭｰﾙ_提示版_ソフトSS概算見積_030620_1" xfId="945" xr:uid="{00000000-0005-0000-0000-0000CE030000}"/>
    <cellStyle name="見積桁区切り_WRS新卒全体ｽｹｼﾞｭｰﾙ_WRS新卒全体ｽｹｼﾞｭｰﾙ_WRS新卒全体ｽｹｼﾞｭｰﾙ_提示版_ソフトSS概算見積_030620_JITEC見積_03.10.1" xfId="946" xr:uid="{00000000-0005-0000-0000-0000CF030000}"/>
    <cellStyle name="見積-桁区切り_WRS新卒全体ｽｹｼﾞｭｰﾙ_WRS新卒全体ｽｹｼﾞｭｰﾙ_WRS新卒全体ｽｹｼﾞｭｰﾙ_提示版_ソフトSS概算見積_030620_JITEC見積_03.10.1" xfId="947" xr:uid="{00000000-0005-0000-0000-0000D0030000}"/>
    <cellStyle name="見積桁区切り_WRS新卒全体ｽｹｼﾞｭｰﾙ_WRS新卒全体ｽｹｼﾞｭｰﾙ_WRS新卒全体ｽｹｼﾞｭｰﾙ_提示版_ソフトSS概算見積_030620_JITEC見積_03.10.1_工数内訳" xfId="948" xr:uid="{00000000-0005-0000-0000-0000D1030000}"/>
    <cellStyle name="見積-桁区切り_WRS新卒全体ｽｹｼﾞｭｰﾙ_WRS新卒全体ｽｹｼﾞｭｰﾙ_WRS新卒全体ｽｹｼﾞｭｰﾙ_提示版_ソフトSS概算見積_030620_JITEC見積_03.10.1_工数内訳" xfId="949" xr:uid="{00000000-0005-0000-0000-0000D2030000}"/>
    <cellStyle name="見積桁区切り_WRS新卒全体ｽｹｼﾞｭｰﾙ_WRS新卒全体ｽｹｼﾞｭｰﾙ_WRS新卒全体ｽｹｼﾞｭｰﾙ_提示版_ソフトSS概算見積_030620_JITEC見積_03.9.28" xfId="950" xr:uid="{00000000-0005-0000-0000-0000D3030000}"/>
    <cellStyle name="見積-桁区切り_WRS新卒全体ｽｹｼﾞｭｰﾙ_WRS新卒全体ｽｹｼﾞｭｰﾙ_WRS新卒全体ｽｹｼﾞｭｰﾙ_提示版_ソフトSS概算見積_030620_JITEC見積_03.9.28" xfId="951" xr:uid="{00000000-0005-0000-0000-0000D4030000}"/>
    <cellStyle name="見積桁区切り_WRS新卒全体ｽｹｼﾞｭｰﾙ_WRS新卒全体ｽｹｼﾞｭｰﾙ_WRS新卒全体ｽｹｼﾞｭｰﾙ_提示版_ソフトSS概算見積_030620_ソフトSS概算見" xfId="952" xr:uid="{00000000-0005-0000-0000-0000D5030000}"/>
    <cellStyle name="見積-桁区切り_WRS新卒全体ｽｹｼﾞｭｰﾙ_WRS新卒全体ｽｹｼﾞｭｰﾙ_WRS新卒全体ｽｹｼﾞｭｰﾙ_提示版_ソフトSS概算見積_030620_ソフトSS概算見" xfId="953" xr:uid="{00000000-0005-0000-0000-0000D6030000}"/>
    <cellStyle name="見積桁区切り_WRS新卒全体ｽｹｼﾞｭｰﾙ_WRS新卒全体ｽｹｼﾞｭｰﾙ_WRS新卒全体ｽｹｼﾞｭｰﾙ_提示版_ソフトSS概算見積_030620_ソフトSS概算見_＜3産2＞見積条件040127" xfId="954" xr:uid="{00000000-0005-0000-0000-0000D7030000}"/>
    <cellStyle name="見積-桁区切り_WRS新卒全体ｽｹｼﾞｭｰﾙ_WRS新卒全体ｽｹｼﾞｭｰﾙ_WRS新卒全体ｽｹｼﾞｭｰﾙ_提示版_ソフトSS概算見積_030620_ソフトSS概算見_＜3産2＞見積条件040127" xfId="955" xr:uid="{00000000-0005-0000-0000-0000D8030000}"/>
    <cellStyle name="見積桁区切り_WRS新卒全体ｽｹｼﾞｭｰﾙ_WRS新卒全体ｽｹｼﾞｭｰﾙ_WRS新卒全体ｽｹｼﾞｭｰﾙ_提示版_ソフトSS概算見積_030620_ソフトSS概算見_JITEC見積_03.10.1" xfId="956" xr:uid="{00000000-0005-0000-0000-0000D9030000}"/>
    <cellStyle name="見積-桁区切り_WRS新卒全体ｽｹｼﾞｭｰﾙ_WRS新卒全体ｽｹｼﾞｭｰﾙ_WRS新卒全体ｽｹｼﾞｭｰﾙ_提示版_ソフトSS概算見積_030620_ソフトSS概算見_JITEC見積_03.10.1" xfId="957" xr:uid="{00000000-0005-0000-0000-0000DA030000}"/>
    <cellStyle name="見積桁区切り_WRS新卒全体ｽｹｼﾞｭｰﾙ_WRS新卒全体ｽｹｼﾞｭｰﾙ_WRS新卒全体ｽｹｼﾞｭｰﾙ_提示版_ソフトSS概算見積_030620_ソフトSS概算見_JITEC見積_03.10.1_工数内訳" xfId="958" xr:uid="{00000000-0005-0000-0000-0000DB030000}"/>
    <cellStyle name="見積-桁区切り_WRS新卒全体ｽｹｼﾞｭｰﾙ_WRS新卒全体ｽｹｼﾞｭｰﾙ_WRS新卒全体ｽｹｼﾞｭｰﾙ_提示版_ソフトSS概算見積_030620_ソフトSS概算見_JITEC見積_03.10.1_工数内訳" xfId="959" xr:uid="{00000000-0005-0000-0000-0000DC030000}"/>
    <cellStyle name="見積桁区切り_WRS新卒全体ｽｹｼﾞｭｰﾙ_WRS新卒全体ｽｹｼﾞｭｰﾙ_WRS新卒全体ｽｹｼﾞｭｰﾙ_提示版_ソフトSS概算見積_030620_ソフトSS概算見_JITEC見積_03.9.28" xfId="960" xr:uid="{00000000-0005-0000-0000-0000DD030000}"/>
    <cellStyle name="見積-桁区切り_WRS新卒全体ｽｹｼﾞｭｰﾙ_WRS新卒全体ｽｹｼﾞｭｰﾙ_WRS新卒全体ｽｹｼﾞｭｰﾙ_提示版_ソフトSS概算見積_030620_ソフトSS概算見_JITEC見積_03.9.28" xfId="961" xr:uid="{00000000-0005-0000-0000-0000DE030000}"/>
    <cellStyle name="見積桁区切り_WRS新卒全体ｽｹｼﾞｭｰﾙ_WRS新卒全体ｽｹｼﾞｭｰﾙ_WRS新卒全体ｽｹｼﾞｭｰﾙ_提示版_ソフトSS概算見積_030620_ソフトSS概算見_開発見積" xfId="962" xr:uid="{00000000-0005-0000-0000-0000DF030000}"/>
    <cellStyle name="見積-桁区切り_WRS新卒全体ｽｹｼﾞｭｰﾙ_WRS新卒全体ｽｹｼﾞｭｰﾙ_WRS新卒全体ｽｹｼﾞｭｰﾙ_提示版_ソフトSS概算見積_030620_ソフトSS概算見_開発見積" xfId="963" xr:uid="{00000000-0005-0000-0000-0000E0030000}"/>
    <cellStyle name="見積桁区切り_WRS新卒全体ｽｹｼﾞｭｰﾙ_WRS新卒全体ｽｹｼﾞｭｰﾙ_WRS新卒全体ｽｹｼﾞｭｰﾙ_提示版_ソフトSS概算見積_030620_ソフトSS概算見積_030620" xfId="964" xr:uid="{00000000-0005-0000-0000-0000E1030000}"/>
    <cellStyle name="見積-桁区切り_WRS新卒全体ｽｹｼﾞｭｰﾙ_WRS新卒全体ｽｹｼﾞｭｰﾙ_WRS新卒全体ｽｹｼﾞｭｰﾙ_提示版_ソフトSS概算見積_030620_ソフトSS概算見積_030620" xfId="965" xr:uid="{00000000-0005-0000-0000-0000E2030000}"/>
    <cellStyle name="見積桁区切り_WRS新卒全体ｽｹｼﾞｭｰﾙ_WRS新卒全体ｽｹｼﾞｭｰﾙ_WRS新卒全体ｽｹｼﾞｭｰﾙ_提示版_ソフトSS概算見積_030620_ソフトSS概算見積_030627" xfId="966" xr:uid="{00000000-0005-0000-0000-0000E3030000}"/>
    <cellStyle name="見積-桁区切り_WRS新卒全体ｽｹｼﾞｭｰﾙ_WRS新卒全体ｽｹｼﾞｭｰﾙ_WRS新卒全体ｽｹｼﾞｭｰﾙ_提示版_ソフトSS概算見積_030620_ソフトSS概算見積_030627" xfId="967" xr:uid="{00000000-0005-0000-0000-0000E4030000}"/>
    <cellStyle name="見積桁区切り_WRS新卒全体ｽｹｼﾞｭｰﾙ_WRS新卒全体ｽｹｼﾞｭｰﾙ_WRS新卒全体ｽｹｼﾞｭｰﾙ_提示版_ソフトSS概算見積_030620_ソフトSS概算見積_030627_＜3産2＞見積条件040127" xfId="968" xr:uid="{00000000-0005-0000-0000-0000E5030000}"/>
    <cellStyle name="見積-桁区切り_WRS新卒全体ｽｹｼﾞｭｰﾙ_WRS新卒全体ｽｹｼﾞｭｰﾙ_WRS新卒全体ｽｹｼﾞｭｰﾙ_提示版_ソフトSS概算見積_030620_ソフトSS概算見積_030627_＜3産2＞見積条件040127" xfId="969" xr:uid="{00000000-0005-0000-0000-0000E6030000}"/>
    <cellStyle name="見積桁区切り_WRS新卒全体ｽｹｼﾞｭｰﾙ_WRS新卒全体ｽｹｼﾞｭｰﾙ_WRS新卒全体ｽｹｼﾞｭｰﾙ_提示版_ソフトSS概算見積_030620_ソフトSS概算見積_030627_1" xfId="970" xr:uid="{00000000-0005-0000-0000-0000E7030000}"/>
    <cellStyle name="見積-桁区切り_WRS新卒全体ｽｹｼﾞｭｰﾙ_WRS新卒全体ｽｹｼﾞｭｰﾙ_WRS新卒全体ｽｹｼﾞｭｰﾙ_提示版_ソフトSS概算見積_030620_ソフトSS概算見積_030627_1" xfId="971" xr:uid="{00000000-0005-0000-0000-0000E8030000}"/>
    <cellStyle name="見積桁区切り_WRS新卒全体ｽｹｼﾞｭｰﾙ_WRS新卒全体ｽｹｼﾞｭｰﾙ_WRS新卒全体ｽｹｼﾞｭｰﾙ_提示版_ソフトSS概算見積_030620_ソフトSS概算見積_030627_JITEC見積_03.10.1" xfId="972" xr:uid="{00000000-0005-0000-0000-0000E9030000}"/>
    <cellStyle name="見積-桁区切り_WRS新卒全体ｽｹｼﾞｭｰﾙ_WRS新卒全体ｽｹｼﾞｭｰﾙ_WRS新卒全体ｽｹｼﾞｭｰﾙ_提示版_ソフトSS概算見積_030620_ソフトSS概算見積_030627_JITEC見積_03.10.1" xfId="973" xr:uid="{00000000-0005-0000-0000-0000EA030000}"/>
    <cellStyle name="見積桁区切り_WRS新卒全体ｽｹｼﾞｭｰﾙ_WRS新卒全体ｽｹｼﾞｭｰﾙ_WRS新卒全体ｽｹｼﾞｭｰﾙ_提示版_ソフトSS概算見積_030620_ソフトSS概算見積_030627_JITEC見積_03.10.1_工数内訳" xfId="974" xr:uid="{00000000-0005-0000-0000-0000EB030000}"/>
    <cellStyle name="見積-桁区切り_WRS新卒全体ｽｹｼﾞｭｰﾙ_WRS新卒全体ｽｹｼﾞｭｰﾙ_WRS新卒全体ｽｹｼﾞｭｰﾙ_提示版_ソフトSS概算見積_030620_ソフトSS概算見積_030627_JITEC見積_03.10.1_工数内訳" xfId="975" xr:uid="{00000000-0005-0000-0000-0000EC030000}"/>
    <cellStyle name="見積桁区切り_WRS新卒全体ｽｹｼﾞｭｰﾙ_WRS新卒全体ｽｹｼﾞｭｰﾙ_WRS新卒全体ｽｹｼﾞｭｰﾙ_提示版_ソフトSS概算見積_030620_ソフトSS概算見積_030627_JITEC見積_03.9.28" xfId="976" xr:uid="{00000000-0005-0000-0000-0000ED030000}"/>
    <cellStyle name="見積-桁区切り_WRS新卒全体ｽｹｼﾞｭｰﾙ_WRS新卒全体ｽｹｼﾞｭｰﾙ_WRS新卒全体ｽｹｼﾞｭｰﾙ_提示版_ソフトSS概算見積_030620_ソフトSS概算見積_030627_JITEC見積_03.9.28" xfId="977" xr:uid="{00000000-0005-0000-0000-0000EE030000}"/>
    <cellStyle name="見積桁区切り_WRS新卒全体ｽｹｼﾞｭｰﾙ_WRS新卒全体ｽｹｼﾞｭｰﾙ_WRS新卒全体ｽｹｼﾞｭｰﾙ_提示版_ソフトSS概算見積_030620_ソフトSS概算見積_030627_ソフトSS概算見積_030627" xfId="978" xr:uid="{00000000-0005-0000-0000-0000EF030000}"/>
    <cellStyle name="見積-桁区切り_WRS新卒全体ｽｹｼﾞｭｰﾙ_WRS新卒全体ｽｹｼﾞｭｰﾙ_WRS新卒全体ｽｹｼﾞｭｰﾙ_提示版_ソフトSS概算見積_030620_ソフトSS概算見積_030627_ソフトSS概算見積_030627" xfId="979" xr:uid="{00000000-0005-0000-0000-0000F0030000}"/>
    <cellStyle name="見積桁区切り_WRS新卒全体ｽｹｼﾞｭｰﾙ_WRS新卒全体ｽｹｼﾞｭｰﾙ_WRS新卒全体ｽｹｼﾞｭｰﾙ_提示版_ソフトSS概算見積_030620_ソフトSS概算見積_030627_開発見積" xfId="980" xr:uid="{00000000-0005-0000-0000-0000F1030000}"/>
    <cellStyle name="見積-桁区切り_WRS新卒全体ｽｹｼﾞｭｰﾙ_WRS新卒全体ｽｹｼﾞｭｰﾙ_WRS新卒全体ｽｹｼﾞｭｰﾙ_提示版_ソフトSS概算見積_030620_ソフトSS概算見積_030627_開発見積" xfId="981" xr:uid="{00000000-0005-0000-0000-0000F2030000}"/>
    <cellStyle name="見積桁区切り_WRS新卒全体ｽｹｼﾞｭｰﾙ_WRS新卒全体ｽｹｼﾞｭｰﾙ_WRS新卒全体ｽｹｼﾞｭｰﾙ_提示版_ソフトSS概算見積_030620_開発見積" xfId="982" xr:uid="{00000000-0005-0000-0000-0000F3030000}"/>
    <cellStyle name="見積-桁区切り_WRS新卒全体ｽｹｼﾞｭｰﾙ_WRS新卒全体ｽｹｼﾞｭｰﾙ_WRS新卒全体ｽｹｼﾞｭｰﾙ_提示版_ソフトSS概算見積_030620_開発見積" xfId="983" xr:uid="{00000000-0005-0000-0000-0000F4030000}"/>
    <cellStyle name="見積桁区切り_WRS新卒全体ｽｹｼﾞｭｰﾙ_WRS新卒全体ｽｹｼﾞｭｰﾙ_WRS新卒全体ｽｹｼﾞｭｰﾙ_提示版_ソフトSS概算見積_03062１営業修正" xfId="984" xr:uid="{00000000-0005-0000-0000-0000F5030000}"/>
    <cellStyle name="見積-桁区切り_WRS新卒全体ｽｹｼﾞｭｰﾙ_WRS新卒全体ｽｹｼﾞｭｰﾙ_WRS新卒全体ｽｹｼﾞｭｰﾙ_提示版_ソフトSS概算見積_03062１営業修正" xfId="985" xr:uid="{00000000-0005-0000-0000-0000F6030000}"/>
    <cellStyle name="見積桁区切り_WRS新卒全体ｽｹｼﾞｭｰﾙ_WRS新卒全体ｽｹｼﾞｭｰﾙ_WRS新卒全体ｽｹｼﾞｭｰﾙ_提示版_ソフトSS概算見積_03062１営業修正_＜3産2＞見積条件040127" xfId="986" xr:uid="{00000000-0005-0000-0000-0000F7030000}"/>
    <cellStyle name="見積-桁区切り_WRS新卒全体ｽｹｼﾞｭｰﾙ_WRS新卒全体ｽｹｼﾞｭｰﾙ_WRS新卒全体ｽｹｼﾞｭｰﾙ_提示版_ソフトSS概算見積_03062１営業修正_＜3産2＞見積条件040127" xfId="987" xr:uid="{00000000-0005-0000-0000-0000F8030000}"/>
    <cellStyle name="見積桁区切り_WRS新卒全体ｽｹｼﾞｭｰﾙ_WRS新卒全体ｽｹｼﾞｭｰﾙ_WRS新卒全体ｽｹｼﾞｭｰﾙ_提示版_ソフトSS概算見積_03062１営業修正_JITEC見積_03.10.1" xfId="988" xr:uid="{00000000-0005-0000-0000-0000F9030000}"/>
    <cellStyle name="見積-桁区切り_WRS新卒全体ｽｹｼﾞｭｰﾙ_WRS新卒全体ｽｹｼﾞｭｰﾙ_WRS新卒全体ｽｹｼﾞｭｰﾙ_提示版_ソフトSS概算見積_03062１営業修正_JITEC見積_03.10.1" xfId="989" xr:uid="{00000000-0005-0000-0000-0000FA030000}"/>
    <cellStyle name="見積桁区切り_WRS新卒全体ｽｹｼﾞｭｰﾙ_WRS新卒全体ｽｹｼﾞｭｰﾙ_WRS新卒全体ｽｹｼﾞｭｰﾙ_提示版_ソフトSS概算見積_03062１営業修正_JITEC見積_03.10.1_工数内訳" xfId="990" xr:uid="{00000000-0005-0000-0000-0000FB030000}"/>
    <cellStyle name="見積-桁区切り_WRS新卒全体ｽｹｼﾞｭｰﾙ_WRS新卒全体ｽｹｼﾞｭｰﾙ_WRS新卒全体ｽｹｼﾞｭｰﾙ_提示版_ソフトSS概算見積_03062１営業修正_JITEC見積_03.10.1_工数内訳" xfId="991" xr:uid="{00000000-0005-0000-0000-0000FC030000}"/>
    <cellStyle name="見積桁区切り_WRS新卒全体ｽｹｼﾞｭｰﾙ_WRS新卒全体ｽｹｼﾞｭｰﾙ_WRS新卒全体ｽｹｼﾞｭｰﾙ_提示版_ソフトSS概算見積_03062１営業修正_JITEC見積_03.9.28" xfId="992" xr:uid="{00000000-0005-0000-0000-0000FD030000}"/>
    <cellStyle name="見積-桁区切り_WRS新卒全体ｽｹｼﾞｭｰﾙ_WRS新卒全体ｽｹｼﾞｭｰﾙ_WRS新卒全体ｽｹｼﾞｭｰﾙ_提示版_ソフトSS概算見積_03062１営業修正_JITEC見積_03.9.28" xfId="993" xr:uid="{00000000-0005-0000-0000-0000FE030000}"/>
    <cellStyle name="見積桁区切り_WRS新卒全体ｽｹｼﾞｭｰﾙ_WRS新卒全体ｽｹｼﾞｭｰﾙ_WRS新卒全体ｽｹｼﾞｭｰﾙ_提示版_ソフトSS概算見積_03062１営業修正_ソフトSS概算見" xfId="994" xr:uid="{00000000-0005-0000-0000-0000FF030000}"/>
    <cellStyle name="見積-桁区切り_WRS新卒全体ｽｹｼﾞｭｰﾙ_WRS新卒全体ｽｹｼﾞｭｰﾙ_WRS新卒全体ｽｹｼﾞｭｰﾙ_提示版_ソフトSS概算見積_03062１営業修正_ソフトSS概算見" xfId="995" xr:uid="{00000000-0005-0000-0000-000000040000}"/>
    <cellStyle name="見積桁区切り_WRS新卒全体ｽｹｼﾞｭｰﾙ_WRS新卒全体ｽｹｼﾞｭｰﾙ_WRS新卒全体ｽｹｼﾞｭｰﾙ_提示版_ソフトSS概算見積_03062１営業修正_ソフトSS概算見_＜3産2＞見積条件040127" xfId="996" xr:uid="{00000000-0005-0000-0000-000001040000}"/>
    <cellStyle name="見積-桁区切り_WRS新卒全体ｽｹｼﾞｭｰﾙ_WRS新卒全体ｽｹｼﾞｭｰﾙ_WRS新卒全体ｽｹｼﾞｭｰﾙ_提示版_ソフトSS概算見積_03062１営業修正_ソフトSS概算見_＜3産2＞見積条件040127" xfId="997" xr:uid="{00000000-0005-0000-0000-000002040000}"/>
    <cellStyle name="見積桁区切り_WRS新卒全体ｽｹｼﾞｭｰﾙ_WRS新卒全体ｽｹｼﾞｭｰﾙ_WRS新卒全体ｽｹｼﾞｭｰﾙ_提示版_ソフトSS概算見積_03062１営業修正_ソフトSS概算見_JITEC見積_03.10.1" xfId="998" xr:uid="{00000000-0005-0000-0000-000003040000}"/>
    <cellStyle name="見積-桁区切り_WRS新卒全体ｽｹｼﾞｭｰﾙ_WRS新卒全体ｽｹｼﾞｭｰﾙ_WRS新卒全体ｽｹｼﾞｭｰﾙ_提示版_ソフトSS概算見積_03062１営業修正_ソフトSS概算見_JITEC見積_03.10.1" xfId="999" xr:uid="{00000000-0005-0000-0000-000004040000}"/>
    <cellStyle name="見積桁区切り_WRS新卒全体ｽｹｼﾞｭｰﾙ_WRS新卒全体ｽｹｼﾞｭｰﾙ_WRS新卒全体ｽｹｼﾞｭｰﾙ_提示版_ソフトSS概算見積_03062１営業修正_ソフトSS概算見_JITEC見積_03.10.1_工数内訳" xfId="1000" xr:uid="{00000000-0005-0000-0000-000005040000}"/>
    <cellStyle name="見積-桁区切り_WRS新卒全体ｽｹｼﾞｭｰﾙ_WRS新卒全体ｽｹｼﾞｭｰﾙ_WRS新卒全体ｽｹｼﾞｭｰﾙ_提示版_ソフトSS概算見積_03062１営業修正_ソフトSS概算見_JITEC見積_03.10.1_工数内訳" xfId="1001" xr:uid="{00000000-0005-0000-0000-000006040000}"/>
    <cellStyle name="見積桁区切り_WRS新卒全体ｽｹｼﾞｭｰﾙ_WRS新卒全体ｽｹｼﾞｭｰﾙ_WRS新卒全体ｽｹｼﾞｭｰﾙ_提示版_ソフトSS概算見積_03062１営業修正_ソフトSS概算見_JITEC見積_03.9.28" xfId="1002" xr:uid="{00000000-0005-0000-0000-000007040000}"/>
    <cellStyle name="見積-桁区切り_WRS新卒全体ｽｹｼﾞｭｰﾙ_WRS新卒全体ｽｹｼﾞｭｰﾙ_WRS新卒全体ｽｹｼﾞｭｰﾙ_提示版_ソフトSS概算見積_03062１営業修正_ソフトSS概算見_JITEC見積_03.9.28" xfId="1003" xr:uid="{00000000-0005-0000-0000-000008040000}"/>
    <cellStyle name="見積桁区切り_WRS新卒全体ｽｹｼﾞｭｰﾙ_WRS新卒全体ｽｹｼﾞｭｰﾙ_WRS新卒全体ｽｹｼﾞｭｰﾙ_提示版_ソフトSS概算見積_03062１営業修正_ソフトSS概算見_開発見積" xfId="1004" xr:uid="{00000000-0005-0000-0000-000009040000}"/>
    <cellStyle name="見積-桁区切り_WRS新卒全体ｽｹｼﾞｭｰﾙ_WRS新卒全体ｽｹｼﾞｭｰﾙ_WRS新卒全体ｽｹｼﾞｭｰﾙ_提示版_ソフトSS概算見積_03062１営業修正_ソフトSS概算見_開発見積" xfId="1005" xr:uid="{00000000-0005-0000-0000-00000A040000}"/>
    <cellStyle name="見積桁区切り_WRS新卒全体ｽｹｼﾞｭｰﾙ_WRS新卒全体ｽｹｼﾞｭｰﾙ_WRS新卒全体ｽｹｼﾞｭｰﾙ_提示版_ソフトSS概算見積_03062１営業修正_開発見積" xfId="1006" xr:uid="{00000000-0005-0000-0000-00000B040000}"/>
    <cellStyle name="見積-桁区切り_WRS新卒全体ｽｹｼﾞｭｰﾙ_WRS新卒全体ｽｹｼﾞｭｰﾙ_WRS新卒全体ｽｹｼﾞｭｰﾙ_提示版_ソフトSS概算見積_03062１営業修正_開発見積" xfId="1007" xr:uid="{00000000-0005-0000-0000-00000C040000}"/>
    <cellStyle name="見積桁区切り_WRS新卒全体ｽｹｼﾞｭｰﾙ_WRS新卒全体ｽｹｼﾞｭｰﾙ_WRS新卒全体ｽｹｼﾞｭｰﾙ_提示版_ソフトSS概算見積_030627" xfId="1008" xr:uid="{00000000-0005-0000-0000-00000D040000}"/>
    <cellStyle name="見積-桁区切り_WRS新卒全体ｽｹｼﾞｭｰﾙ_WRS新卒全体ｽｹｼﾞｭｰﾙ_WRS新卒全体ｽｹｼﾞｭｰﾙ_提示版_ソフトSS概算見積_030627" xfId="1009" xr:uid="{00000000-0005-0000-0000-00000E040000}"/>
    <cellStyle name="見積桁区切り_WRS新卒全体ｽｹｼﾞｭｰﾙ_WRS新卒全体ｽｹｼﾞｭｰﾙ_WRS新卒全体ｽｹｼﾞｭｰﾙ_提示版_開発見積" xfId="1010" xr:uid="{00000000-0005-0000-0000-00000F040000}"/>
    <cellStyle name="見積-桁区切り_WRS新卒全体ｽｹｼﾞｭｰﾙ_WRS新卒全体ｽｹｼﾞｭｰﾙ_WRS新卒全体ｽｹｼﾞｭｰﾙ_提示版_開発見積" xfId="1011" xr:uid="{00000000-0005-0000-0000-000010040000}"/>
    <cellStyle name="見積桁区切り_WRS新卒全体ｽｹｼﾞｭｰﾙ_WRS新卒全体ｽｹｼﾞｭｰﾙ_WRS新卒全体ｽｹｼﾞｭｰﾙ_提示版_自治体向けｻｲﾄ構築機能整理表_Ver2" xfId="1012" xr:uid="{00000000-0005-0000-0000-000011040000}"/>
    <cellStyle name="見積-桁区切り_WRS新卒全体ｽｹｼﾞｭｰﾙ_WRS新卒全体ｽｹｼﾞｭｰﾙ_WRS新卒全体ｽｹｼﾞｭｰﾙ_提示版_自治体向けｻｲﾄ構築機能整理表_Ver2" xfId="1013" xr:uid="{00000000-0005-0000-0000-000012040000}"/>
    <cellStyle name="見積桁区切り_WRS新卒全体ｽｹｼﾞｭｰﾙ_WRS新卒全体ｽｹｼﾞｭｰﾙ_ソフトSS概算見積_030620" xfId="1014" xr:uid="{00000000-0005-0000-0000-000013040000}"/>
    <cellStyle name="見積-桁区切り_WRS新卒全体ｽｹｼﾞｭｰﾙ_WRS新卒全体ｽｹｼﾞｭｰﾙ_ソフトSS概算見積_030620" xfId="1015" xr:uid="{00000000-0005-0000-0000-000014040000}"/>
    <cellStyle name="見積桁区切り_WRS新卒全体ｽｹｼﾞｭｰﾙ_WRS新卒全体ｽｹｼﾞｭｰﾙ_ソフトSS概算見積_030620_＜3産2＞見積条件040127" xfId="1016" xr:uid="{00000000-0005-0000-0000-000015040000}"/>
    <cellStyle name="見積-桁区切り_WRS新卒全体ｽｹｼﾞｭｰﾙ_WRS新卒全体ｽｹｼﾞｭｰﾙ_ソフトSS概算見積_030620_＜3産2＞見積条件040127" xfId="1017" xr:uid="{00000000-0005-0000-0000-000016040000}"/>
    <cellStyle name="見積桁区切り_WRS新卒全体ｽｹｼﾞｭｰﾙ_WRS新卒全体ｽｹｼﾞｭｰﾙ_ソフトSS概算見積_030620_1" xfId="1018" xr:uid="{00000000-0005-0000-0000-000017040000}"/>
    <cellStyle name="見積-桁区切り_WRS新卒全体ｽｹｼﾞｭｰﾙ_WRS新卒全体ｽｹｼﾞｭｰﾙ_ソフトSS概算見積_030620_1" xfId="1019" xr:uid="{00000000-0005-0000-0000-000018040000}"/>
    <cellStyle name="見積桁区切り_WRS新卒全体ｽｹｼﾞｭｰﾙ_WRS新卒全体ｽｹｼﾞｭｰﾙ_ソフトSS概算見積_030620_JITEC見積_03.10.1" xfId="1020" xr:uid="{00000000-0005-0000-0000-000019040000}"/>
    <cellStyle name="見積-桁区切り_WRS新卒全体ｽｹｼﾞｭｰﾙ_WRS新卒全体ｽｹｼﾞｭｰﾙ_ソフトSS概算見積_030620_JITEC見積_03.10.1" xfId="1021" xr:uid="{00000000-0005-0000-0000-00001A040000}"/>
    <cellStyle name="見積桁区切り_WRS新卒全体ｽｹｼﾞｭｰﾙ_WRS新卒全体ｽｹｼﾞｭｰﾙ_ソフトSS概算見積_030620_JITEC見積_03.10.1_工数内訳" xfId="1022" xr:uid="{00000000-0005-0000-0000-00001B040000}"/>
    <cellStyle name="見積-桁区切り_WRS新卒全体ｽｹｼﾞｭｰﾙ_WRS新卒全体ｽｹｼﾞｭｰﾙ_ソフトSS概算見積_030620_JITEC見積_03.10.1_工数内訳" xfId="1023" xr:uid="{00000000-0005-0000-0000-00001C040000}"/>
    <cellStyle name="見積桁区切り_WRS新卒全体ｽｹｼﾞｭｰﾙ_WRS新卒全体ｽｹｼﾞｭｰﾙ_ソフトSS概算見積_030620_JITEC見積_03.9.28" xfId="1024" xr:uid="{00000000-0005-0000-0000-00001D040000}"/>
    <cellStyle name="見積-桁区切り_WRS新卒全体ｽｹｼﾞｭｰﾙ_WRS新卒全体ｽｹｼﾞｭｰﾙ_ソフトSS概算見積_030620_JITEC見積_03.9.28" xfId="1025" xr:uid="{00000000-0005-0000-0000-00001E040000}"/>
    <cellStyle name="見積桁区切り_WRS新卒全体ｽｹｼﾞｭｰﾙ_WRS新卒全体ｽｹｼﾞｭｰﾙ_ソフトSS概算見積_030620_ソフトSS概算見" xfId="1026" xr:uid="{00000000-0005-0000-0000-00001F040000}"/>
    <cellStyle name="見積-桁区切り_WRS新卒全体ｽｹｼﾞｭｰﾙ_WRS新卒全体ｽｹｼﾞｭｰﾙ_ソフトSS概算見積_030620_ソフトSS概算見" xfId="1027" xr:uid="{00000000-0005-0000-0000-000020040000}"/>
    <cellStyle name="見積桁区切り_WRS新卒全体ｽｹｼﾞｭｰﾙ_WRS新卒全体ｽｹｼﾞｭｰﾙ_ソフトSS概算見積_030620_ソフトSS概算見_＜3産2＞見積条件040127" xfId="1028" xr:uid="{00000000-0005-0000-0000-000021040000}"/>
    <cellStyle name="見積-桁区切り_WRS新卒全体ｽｹｼﾞｭｰﾙ_WRS新卒全体ｽｹｼﾞｭｰﾙ_ソフトSS概算見積_030620_ソフトSS概算見_＜3産2＞見積条件040127" xfId="1029" xr:uid="{00000000-0005-0000-0000-000022040000}"/>
    <cellStyle name="見積桁区切り_WRS新卒全体ｽｹｼﾞｭｰﾙ_WRS新卒全体ｽｹｼﾞｭｰﾙ_ソフトSS概算見積_030620_ソフトSS概算見_JITEC見積_03.10.1" xfId="1030" xr:uid="{00000000-0005-0000-0000-000023040000}"/>
    <cellStyle name="見積-桁区切り_WRS新卒全体ｽｹｼﾞｭｰﾙ_WRS新卒全体ｽｹｼﾞｭｰﾙ_ソフトSS概算見積_030620_ソフトSS概算見_JITEC見積_03.10.1" xfId="1031" xr:uid="{00000000-0005-0000-0000-000024040000}"/>
    <cellStyle name="見積桁区切り_WRS新卒全体ｽｹｼﾞｭｰﾙ_WRS新卒全体ｽｹｼﾞｭｰﾙ_ソフトSS概算見積_030620_ソフトSS概算見_JITEC見積_03.10.1_工数内訳" xfId="1032" xr:uid="{00000000-0005-0000-0000-000025040000}"/>
    <cellStyle name="見積-桁区切り_WRS新卒全体ｽｹｼﾞｭｰﾙ_WRS新卒全体ｽｹｼﾞｭｰﾙ_ソフトSS概算見積_030620_ソフトSS概算見_JITEC見積_03.10.1_工数内訳" xfId="1033" xr:uid="{00000000-0005-0000-0000-000026040000}"/>
    <cellStyle name="見積桁区切り_WRS新卒全体ｽｹｼﾞｭｰﾙ_WRS新卒全体ｽｹｼﾞｭｰﾙ_ソフトSS概算見積_030620_ソフトSS概算見_JITEC見積_03.9.28" xfId="1034" xr:uid="{00000000-0005-0000-0000-000027040000}"/>
    <cellStyle name="見積-桁区切り_WRS新卒全体ｽｹｼﾞｭｰﾙ_WRS新卒全体ｽｹｼﾞｭｰﾙ_ソフトSS概算見積_030620_ソフトSS概算見_JITEC見積_03.9.28" xfId="1035" xr:uid="{00000000-0005-0000-0000-000028040000}"/>
    <cellStyle name="見積桁区切り_WRS新卒全体ｽｹｼﾞｭｰﾙ_WRS新卒全体ｽｹｼﾞｭｰﾙ_ソフトSS概算見積_030620_ソフトSS概算見_開発見積" xfId="1036" xr:uid="{00000000-0005-0000-0000-000029040000}"/>
    <cellStyle name="見積-桁区切り_WRS新卒全体ｽｹｼﾞｭｰﾙ_WRS新卒全体ｽｹｼﾞｭｰﾙ_ソフトSS概算見積_030620_ソフトSS概算見_開発見積" xfId="1037" xr:uid="{00000000-0005-0000-0000-00002A040000}"/>
    <cellStyle name="見積桁区切り_WRS新卒全体ｽｹｼﾞｭｰﾙ_WRS新卒全体ｽｹｼﾞｭｰﾙ_ソフトSS概算見積_030620_ソフトSS概算見積_030620" xfId="1038" xr:uid="{00000000-0005-0000-0000-00002B040000}"/>
    <cellStyle name="見積-桁区切り_WRS新卒全体ｽｹｼﾞｭｰﾙ_WRS新卒全体ｽｹｼﾞｭｰﾙ_ソフトSS概算見積_030620_ソフトSS概算見積_030620" xfId="1039" xr:uid="{00000000-0005-0000-0000-00002C040000}"/>
    <cellStyle name="見積桁区切り_WRS新卒全体ｽｹｼﾞｭｰﾙ_WRS新卒全体ｽｹｼﾞｭｰﾙ_ソフトSS概算見積_030620_ソフトSS概算見積_030627" xfId="1040" xr:uid="{00000000-0005-0000-0000-00002D040000}"/>
    <cellStyle name="見積-桁区切り_WRS新卒全体ｽｹｼﾞｭｰﾙ_WRS新卒全体ｽｹｼﾞｭｰﾙ_ソフトSS概算見積_030620_ソフトSS概算見積_030627" xfId="1041" xr:uid="{00000000-0005-0000-0000-00002E040000}"/>
    <cellStyle name="見積桁区切り_WRS新卒全体ｽｹｼﾞｭｰﾙ_WRS新卒全体ｽｹｼﾞｭｰﾙ_ソフトSS概算見積_030620_ソフトSS概算見積_030627_＜3産2＞見積条件040127" xfId="1042" xr:uid="{00000000-0005-0000-0000-00002F040000}"/>
    <cellStyle name="見積-桁区切り_WRS新卒全体ｽｹｼﾞｭｰﾙ_WRS新卒全体ｽｹｼﾞｭｰﾙ_ソフトSS概算見積_030620_ソフトSS概算見積_030627_＜3産2＞見積条件040127" xfId="1043" xr:uid="{00000000-0005-0000-0000-000030040000}"/>
    <cellStyle name="見積桁区切り_WRS新卒全体ｽｹｼﾞｭｰﾙ_WRS新卒全体ｽｹｼﾞｭｰﾙ_ソフトSS概算見積_030620_ソフトSS概算見積_030627_1" xfId="1044" xr:uid="{00000000-0005-0000-0000-000031040000}"/>
    <cellStyle name="見積-桁区切り_WRS新卒全体ｽｹｼﾞｭｰﾙ_WRS新卒全体ｽｹｼﾞｭｰﾙ_ソフトSS概算見積_030620_ソフトSS概算見積_030627_1" xfId="1045" xr:uid="{00000000-0005-0000-0000-000032040000}"/>
    <cellStyle name="見積桁区切り_WRS新卒全体ｽｹｼﾞｭｰﾙ_WRS新卒全体ｽｹｼﾞｭｰﾙ_ソフトSS概算見積_030620_ソフトSS概算見積_030627_JITEC見積_03.10.1" xfId="1046" xr:uid="{00000000-0005-0000-0000-000033040000}"/>
    <cellStyle name="見積-桁区切り_WRS新卒全体ｽｹｼﾞｭｰﾙ_WRS新卒全体ｽｹｼﾞｭｰﾙ_ソフトSS概算見積_030620_ソフトSS概算見積_030627_JITEC見積_03.10.1" xfId="1047" xr:uid="{00000000-0005-0000-0000-000034040000}"/>
    <cellStyle name="見積桁区切り_WRS新卒全体ｽｹｼﾞｭｰﾙ_WRS新卒全体ｽｹｼﾞｭｰﾙ_ソフトSS概算見積_030620_ソフトSS概算見積_030627_JITEC見積_03.10.1_工数内訳" xfId="1048" xr:uid="{00000000-0005-0000-0000-000035040000}"/>
    <cellStyle name="見積-桁区切り_WRS新卒全体ｽｹｼﾞｭｰﾙ_WRS新卒全体ｽｹｼﾞｭｰﾙ_ソフトSS概算見積_030620_ソフトSS概算見積_030627_JITEC見積_03.10.1_工数内訳" xfId="1049" xr:uid="{00000000-0005-0000-0000-000036040000}"/>
    <cellStyle name="見積桁区切り_WRS新卒全体ｽｹｼﾞｭｰﾙ_WRS新卒全体ｽｹｼﾞｭｰﾙ_ソフトSS概算見積_030620_ソフトSS概算見積_030627_JITEC見積_03.9.28" xfId="1050" xr:uid="{00000000-0005-0000-0000-000037040000}"/>
    <cellStyle name="見積-桁区切り_WRS新卒全体ｽｹｼﾞｭｰﾙ_WRS新卒全体ｽｹｼﾞｭｰﾙ_ソフトSS概算見積_030620_ソフトSS概算見積_030627_JITEC見積_03.9.28" xfId="1051" xr:uid="{00000000-0005-0000-0000-000038040000}"/>
    <cellStyle name="見積桁区切り_WRS新卒全体ｽｹｼﾞｭｰﾙ_WRS新卒全体ｽｹｼﾞｭｰﾙ_ソフトSS概算見積_030620_ソフトSS概算見積_030627_ソフトSS概算見積_030627" xfId="1052" xr:uid="{00000000-0005-0000-0000-000039040000}"/>
    <cellStyle name="見積-桁区切り_WRS新卒全体ｽｹｼﾞｭｰﾙ_WRS新卒全体ｽｹｼﾞｭｰﾙ_ソフトSS概算見積_030620_ソフトSS概算見積_030627_ソフトSS概算見積_030627" xfId="1053" xr:uid="{00000000-0005-0000-0000-00003A040000}"/>
    <cellStyle name="見積桁区切り_WRS新卒全体ｽｹｼﾞｭｰﾙ_WRS新卒全体ｽｹｼﾞｭｰﾙ_ソフトSS概算見積_030620_ソフトSS概算見積_030627_開発見積" xfId="1054" xr:uid="{00000000-0005-0000-0000-00003B040000}"/>
    <cellStyle name="見積-桁区切り_WRS新卒全体ｽｹｼﾞｭｰﾙ_WRS新卒全体ｽｹｼﾞｭｰﾙ_ソフトSS概算見積_030620_ソフトSS概算見積_030627_開発見積" xfId="1055" xr:uid="{00000000-0005-0000-0000-00003C040000}"/>
    <cellStyle name="見積桁区切り_WRS新卒全体ｽｹｼﾞｭｰﾙ_WRS新卒全体ｽｹｼﾞｭｰﾙ_ソフトSS概算見積_030620_開発見積" xfId="1056" xr:uid="{00000000-0005-0000-0000-00003D040000}"/>
    <cellStyle name="見積-桁区切り_WRS新卒全体ｽｹｼﾞｭｰﾙ_WRS新卒全体ｽｹｼﾞｭｰﾙ_ソフトSS概算見積_030620_開発見積" xfId="1057" xr:uid="{00000000-0005-0000-0000-00003E040000}"/>
    <cellStyle name="見積桁区切り_WRS新卒全体ｽｹｼﾞｭｰﾙ_WRS新卒全体ｽｹｼﾞｭｰﾙ_ソフトSS概算見積_03062１営業修正" xfId="1058" xr:uid="{00000000-0005-0000-0000-00003F040000}"/>
    <cellStyle name="見積-桁区切り_WRS新卒全体ｽｹｼﾞｭｰﾙ_WRS新卒全体ｽｹｼﾞｭｰﾙ_ソフトSS概算見積_03062１営業修正" xfId="1059" xr:uid="{00000000-0005-0000-0000-000040040000}"/>
    <cellStyle name="見積桁区切り_WRS新卒全体ｽｹｼﾞｭｰﾙ_WRS新卒全体ｽｹｼﾞｭｰﾙ_ソフトSS概算見積_03062１営業修正_＜3産2＞見積条件040127" xfId="1060" xr:uid="{00000000-0005-0000-0000-000041040000}"/>
    <cellStyle name="見積-桁区切り_WRS新卒全体ｽｹｼﾞｭｰﾙ_WRS新卒全体ｽｹｼﾞｭｰﾙ_ソフトSS概算見積_03062１営業修正_＜3産2＞見積条件040127" xfId="1061" xr:uid="{00000000-0005-0000-0000-000042040000}"/>
    <cellStyle name="見積桁区切り_WRS新卒全体ｽｹｼﾞｭｰﾙ_WRS新卒全体ｽｹｼﾞｭｰﾙ_ソフトSS概算見積_03062１営業修正_JITEC見積_03.10.1" xfId="1062" xr:uid="{00000000-0005-0000-0000-000043040000}"/>
    <cellStyle name="見積-桁区切り_WRS新卒全体ｽｹｼﾞｭｰﾙ_WRS新卒全体ｽｹｼﾞｭｰﾙ_ソフトSS概算見積_03062１営業修正_JITEC見積_03.10.1" xfId="1063" xr:uid="{00000000-0005-0000-0000-000044040000}"/>
    <cellStyle name="見積桁区切り_WRS新卒全体ｽｹｼﾞｭｰﾙ_WRS新卒全体ｽｹｼﾞｭｰﾙ_ソフトSS概算見積_03062１営業修正_JITEC見積_03.10.1_工数内訳" xfId="1064" xr:uid="{00000000-0005-0000-0000-000045040000}"/>
    <cellStyle name="見積-桁区切り_WRS新卒全体ｽｹｼﾞｭｰﾙ_WRS新卒全体ｽｹｼﾞｭｰﾙ_ソフトSS概算見積_03062１営業修正_JITEC見積_03.10.1_工数内訳" xfId="1065" xr:uid="{00000000-0005-0000-0000-000046040000}"/>
    <cellStyle name="見積桁区切り_WRS新卒全体ｽｹｼﾞｭｰﾙ_WRS新卒全体ｽｹｼﾞｭｰﾙ_ソフトSS概算見積_03062１営業修正_JITEC見積_03.9.28" xfId="1066" xr:uid="{00000000-0005-0000-0000-000047040000}"/>
    <cellStyle name="見積-桁区切り_WRS新卒全体ｽｹｼﾞｭｰﾙ_WRS新卒全体ｽｹｼﾞｭｰﾙ_ソフトSS概算見積_03062１営業修正_JITEC見積_03.9.28" xfId="1067" xr:uid="{00000000-0005-0000-0000-000048040000}"/>
    <cellStyle name="見積桁区切り_WRS新卒全体ｽｹｼﾞｭｰﾙ_WRS新卒全体ｽｹｼﾞｭｰﾙ_ソフトSS概算見積_03062１営業修正_ソフトSS概算見" xfId="1068" xr:uid="{00000000-0005-0000-0000-000049040000}"/>
    <cellStyle name="見積-桁区切り_WRS新卒全体ｽｹｼﾞｭｰﾙ_WRS新卒全体ｽｹｼﾞｭｰﾙ_ソフトSS概算見積_03062１営業修正_ソフトSS概算見" xfId="1069" xr:uid="{00000000-0005-0000-0000-00004A040000}"/>
    <cellStyle name="見積桁区切り_WRS新卒全体ｽｹｼﾞｭｰﾙ_WRS新卒全体ｽｹｼﾞｭｰﾙ_ソフトSS概算見積_03062１営業修正_ソフトSS概算見_＜3産2＞見積条件040127" xfId="1070" xr:uid="{00000000-0005-0000-0000-00004B040000}"/>
    <cellStyle name="見積-桁区切り_WRS新卒全体ｽｹｼﾞｭｰﾙ_WRS新卒全体ｽｹｼﾞｭｰﾙ_ソフトSS概算見積_03062１営業修正_ソフトSS概算見_＜3産2＞見積条件040127" xfId="1071" xr:uid="{00000000-0005-0000-0000-00004C040000}"/>
    <cellStyle name="見積桁区切り_WRS新卒全体ｽｹｼﾞｭｰﾙ_WRS新卒全体ｽｹｼﾞｭｰﾙ_ソフトSS概算見積_03062１営業修正_ソフトSS概算見_JITEC見積_03.10.1" xfId="1072" xr:uid="{00000000-0005-0000-0000-00004D040000}"/>
    <cellStyle name="見積-桁区切り_WRS新卒全体ｽｹｼﾞｭｰﾙ_WRS新卒全体ｽｹｼﾞｭｰﾙ_ソフトSS概算見積_03062１営業修正_ソフトSS概算見_JITEC見積_03.10.1" xfId="1073" xr:uid="{00000000-0005-0000-0000-00004E040000}"/>
    <cellStyle name="見積桁区切り_WRS新卒全体ｽｹｼﾞｭｰﾙ_WRS新卒全体ｽｹｼﾞｭｰﾙ_ソフトSS概算見積_03062１営業修正_ソフトSS概算見_JITEC見積_03.10.1_工数内訳" xfId="1074" xr:uid="{00000000-0005-0000-0000-00004F040000}"/>
    <cellStyle name="見積-桁区切り_WRS新卒全体ｽｹｼﾞｭｰﾙ_WRS新卒全体ｽｹｼﾞｭｰﾙ_ソフトSS概算見積_03062１営業修正_ソフトSS概算見_JITEC見積_03.10.1_工数内訳" xfId="1075" xr:uid="{00000000-0005-0000-0000-000050040000}"/>
    <cellStyle name="見積桁区切り_WRS新卒全体ｽｹｼﾞｭｰﾙ_WRS新卒全体ｽｹｼﾞｭｰﾙ_ソフトSS概算見積_03062１営業修正_ソフトSS概算見_JITEC見積_03.9.28" xfId="1076" xr:uid="{00000000-0005-0000-0000-000051040000}"/>
    <cellStyle name="見積-桁区切り_WRS新卒全体ｽｹｼﾞｭｰﾙ_WRS新卒全体ｽｹｼﾞｭｰﾙ_ソフトSS概算見積_03062１営業修正_ソフトSS概算見_JITEC見積_03.9.28" xfId="1077" xr:uid="{00000000-0005-0000-0000-000052040000}"/>
    <cellStyle name="見積桁区切り_WRS新卒全体ｽｹｼﾞｭｰﾙ_WRS新卒全体ｽｹｼﾞｭｰﾙ_ソフトSS概算見積_03062１営業修正_ソフトSS概算見_開発見積" xfId="1078" xr:uid="{00000000-0005-0000-0000-000053040000}"/>
    <cellStyle name="見積-桁区切り_WRS新卒全体ｽｹｼﾞｭｰﾙ_WRS新卒全体ｽｹｼﾞｭｰﾙ_ソフトSS概算見積_03062１営業修正_ソフトSS概算見_開発見積" xfId="1079" xr:uid="{00000000-0005-0000-0000-000054040000}"/>
    <cellStyle name="見積桁区切り_WRS新卒全体ｽｹｼﾞｭｰﾙ_WRS新卒全体ｽｹｼﾞｭｰﾙ_ソフトSS概算見積_03062１営業修正_開発見積" xfId="1080" xr:uid="{00000000-0005-0000-0000-000055040000}"/>
    <cellStyle name="見積-桁区切り_WRS新卒全体ｽｹｼﾞｭｰﾙ_WRS新卒全体ｽｹｼﾞｭｰﾙ_ソフトSS概算見積_03062１営業修正_開発見積" xfId="1081" xr:uid="{00000000-0005-0000-0000-000056040000}"/>
    <cellStyle name="見積桁区切り_WRS新卒全体ｽｹｼﾞｭｰﾙ_WRS新卒全体ｽｹｼﾞｭｰﾙ_ソフトSS概算見積_030627" xfId="1082" xr:uid="{00000000-0005-0000-0000-000057040000}"/>
    <cellStyle name="見積-桁区切り_WRS新卒全体ｽｹｼﾞｭｰﾙ_WRS新卒全体ｽｹｼﾞｭｰﾙ_ソフトSS概算見積_030627" xfId="1083" xr:uid="{00000000-0005-0000-0000-000058040000}"/>
    <cellStyle name="見積桁区切り_WRS新卒全体ｽｹｼﾞｭｰﾙ_WRS新卒全体ｽｹｼﾞｭｰﾙ_開発見積" xfId="1084" xr:uid="{00000000-0005-0000-0000-000059040000}"/>
    <cellStyle name="見積-桁区切り_WRS新卒全体ｽｹｼﾞｭｰﾙ_WRS新卒全体ｽｹｼﾞｭｰﾙ_開発見積" xfId="1085" xr:uid="{00000000-0005-0000-0000-00005A040000}"/>
    <cellStyle name="見積桁区切り_WRS新卒全体ｽｹｼﾞｭｰﾙ_WRS新卒全体ｽｹｼﾞｭｰﾙ_自治体向けｻｲﾄ構築機能整理表_Ver2" xfId="1086" xr:uid="{00000000-0005-0000-0000-00005B040000}"/>
    <cellStyle name="見積-桁区切り_WRS新卒全体ｽｹｼﾞｭｰﾙ_WRS新卒全体ｽｹｼﾞｭｰﾙ_自治体向けｻｲﾄ構築機能整理表_Ver2" xfId="1087" xr:uid="{00000000-0005-0000-0000-00005C040000}"/>
    <cellStyle name="見積桁区切り_WRS新卒全体ｽｹｼﾞｭｰﾙ_ソフトSS概算見積_030620" xfId="1088" xr:uid="{00000000-0005-0000-0000-00005D040000}"/>
    <cellStyle name="見積-桁区切り_WRS新卒全体ｽｹｼﾞｭｰﾙ_ソフトSS概算見積_030620" xfId="1089" xr:uid="{00000000-0005-0000-0000-00005E040000}"/>
    <cellStyle name="見積桁区切り_WRS新卒全体ｽｹｼﾞｭｰﾙ_ソフトSS概算見積_030620_＜3産2＞見積条件040127" xfId="1090" xr:uid="{00000000-0005-0000-0000-00005F040000}"/>
    <cellStyle name="見積-桁区切り_WRS新卒全体ｽｹｼﾞｭｰﾙ_ソフトSS概算見積_030620_＜3産2＞見積条件040127" xfId="1091" xr:uid="{00000000-0005-0000-0000-000060040000}"/>
    <cellStyle name="見積桁区切り_WRS新卒全体ｽｹｼﾞｭｰﾙ_ソフトSS概算見積_030620_1" xfId="1092" xr:uid="{00000000-0005-0000-0000-000061040000}"/>
    <cellStyle name="見積-桁区切り_WRS新卒全体ｽｹｼﾞｭｰﾙ_ソフトSS概算見積_030620_1" xfId="1093" xr:uid="{00000000-0005-0000-0000-000062040000}"/>
    <cellStyle name="見積桁区切り_WRS新卒全体ｽｹｼﾞｭｰﾙ_ソフトSS概算見積_030620_JITEC見積_03.10.1" xfId="1094" xr:uid="{00000000-0005-0000-0000-000063040000}"/>
    <cellStyle name="見積-桁区切り_WRS新卒全体ｽｹｼﾞｭｰﾙ_ソフトSS概算見積_030620_JITEC見積_03.10.1" xfId="1095" xr:uid="{00000000-0005-0000-0000-000064040000}"/>
    <cellStyle name="見積桁区切り_WRS新卒全体ｽｹｼﾞｭｰﾙ_ソフトSS概算見積_030620_JITEC見積_03.10.1_工数内訳" xfId="1096" xr:uid="{00000000-0005-0000-0000-000065040000}"/>
    <cellStyle name="見積-桁区切り_WRS新卒全体ｽｹｼﾞｭｰﾙ_ソフトSS概算見積_030620_JITEC見積_03.10.1_工数内訳" xfId="1097" xr:uid="{00000000-0005-0000-0000-000066040000}"/>
    <cellStyle name="見積桁区切り_WRS新卒全体ｽｹｼﾞｭｰﾙ_ソフトSS概算見積_030620_JITEC見積_03.9.28" xfId="1098" xr:uid="{00000000-0005-0000-0000-000067040000}"/>
    <cellStyle name="見積-桁区切り_WRS新卒全体ｽｹｼﾞｭｰﾙ_ソフトSS概算見積_030620_JITEC見積_03.9.28" xfId="1099" xr:uid="{00000000-0005-0000-0000-000068040000}"/>
    <cellStyle name="見積桁区切り_WRS新卒全体ｽｹｼﾞｭｰﾙ_ソフトSS概算見積_030620_ソフトSS概算見" xfId="1100" xr:uid="{00000000-0005-0000-0000-000069040000}"/>
    <cellStyle name="見積-桁区切り_WRS新卒全体ｽｹｼﾞｭｰﾙ_ソフトSS概算見積_030620_ソフトSS概算見" xfId="1101" xr:uid="{00000000-0005-0000-0000-00006A040000}"/>
    <cellStyle name="見積桁区切り_WRS新卒全体ｽｹｼﾞｭｰﾙ_ソフトSS概算見積_030620_ソフトSS概算見_＜3産2＞見積条件040127" xfId="1102" xr:uid="{00000000-0005-0000-0000-00006B040000}"/>
    <cellStyle name="見積-桁区切り_WRS新卒全体ｽｹｼﾞｭｰﾙ_ソフトSS概算見積_030620_ソフトSS概算見_＜3産2＞見積条件040127" xfId="1103" xr:uid="{00000000-0005-0000-0000-00006C040000}"/>
    <cellStyle name="見積桁区切り_WRS新卒全体ｽｹｼﾞｭｰﾙ_ソフトSS概算見積_030620_ソフトSS概算見_JITEC見積_03.10.1" xfId="1104" xr:uid="{00000000-0005-0000-0000-00006D040000}"/>
    <cellStyle name="見積-桁区切り_WRS新卒全体ｽｹｼﾞｭｰﾙ_ソフトSS概算見積_030620_ソフトSS概算見_JITEC見積_03.10.1" xfId="1105" xr:uid="{00000000-0005-0000-0000-00006E040000}"/>
    <cellStyle name="見積桁区切り_WRS新卒全体ｽｹｼﾞｭｰﾙ_ソフトSS概算見積_030620_ソフトSS概算見_JITEC見積_03.10.1_工数内訳" xfId="1106" xr:uid="{00000000-0005-0000-0000-00006F040000}"/>
    <cellStyle name="見積-桁区切り_WRS新卒全体ｽｹｼﾞｭｰﾙ_ソフトSS概算見積_030620_ソフトSS概算見_JITEC見積_03.10.1_工数内訳" xfId="1107" xr:uid="{00000000-0005-0000-0000-000070040000}"/>
    <cellStyle name="見積桁区切り_WRS新卒全体ｽｹｼﾞｭｰﾙ_ソフトSS概算見積_030620_ソフトSS概算見_JITEC見積_03.9.28" xfId="1108" xr:uid="{00000000-0005-0000-0000-000071040000}"/>
    <cellStyle name="見積-桁区切り_WRS新卒全体ｽｹｼﾞｭｰﾙ_ソフトSS概算見積_030620_ソフトSS概算見_JITEC見積_03.9.28" xfId="1109" xr:uid="{00000000-0005-0000-0000-000072040000}"/>
    <cellStyle name="見積桁区切り_WRS新卒全体ｽｹｼﾞｭｰﾙ_ソフトSS概算見積_030620_ソフトSS概算見_開発見積" xfId="1110" xr:uid="{00000000-0005-0000-0000-000073040000}"/>
    <cellStyle name="見積-桁区切り_WRS新卒全体ｽｹｼﾞｭｰﾙ_ソフトSS概算見積_030620_ソフトSS概算見_開発見積" xfId="1111" xr:uid="{00000000-0005-0000-0000-000074040000}"/>
    <cellStyle name="見積桁区切り_WRS新卒全体ｽｹｼﾞｭｰﾙ_ソフトSS概算見積_030620_ソフトSS概算見積_030620" xfId="1112" xr:uid="{00000000-0005-0000-0000-000075040000}"/>
    <cellStyle name="見積-桁区切り_WRS新卒全体ｽｹｼﾞｭｰﾙ_ソフトSS概算見積_030620_ソフトSS概算見積_030620" xfId="1113" xr:uid="{00000000-0005-0000-0000-000076040000}"/>
    <cellStyle name="見積桁区切り_WRS新卒全体ｽｹｼﾞｭｰﾙ_ソフトSS概算見積_030620_ソフトSS概算見積_030627" xfId="1114" xr:uid="{00000000-0005-0000-0000-000077040000}"/>
    <cellStyle name="見積-桁区切り_WRS新卒全体ｽｹｼﾞｭｰﾙ_ソフトSS概算見積_030620_ソフトSS概算見積_030627" xfId="1115" xr:uid="{00000000-0005-0000-0000-000078040000}"/>
    <cellStyle name="見積桁区切り_WRS新卒全体ｽｹｼﾞｭｰﾙ_ソフトSS概算見積_030620_ソフトSS概算見積_030627_＜3産2＞見積条件040127" xfId="1116" xr:uid="{00000000-0005-0000-0000-000079040000}"/>
    <cellStyle name="見積-桁区切り_WRS新卒全体ｽｹｼﾞｭｰﾙ_ソフトSS概算見積_030620_ソフトSS概算見積_030627_＜3産2＞見積条件040127" xfId="1117" xr:uid="{00000000-0005-0000-0000-00007A040000}"/>
    <cellStyle name="見積桁区切り_WRS新卒全体ｽｹｼﾞｭｰﾙ_ソフトSS概算見積_030620_ソフトSS概算見積_030627_1" xfId="1118" xr:uid="{00000000-0005-0000-0000-00007B040000}"/>
    <cellStyle name="見積-桁区切り_WRS新卒全体ｽｹｼﾞｭｰﾙ_ソフトSS概算見積_030620_ソフトSS概算見積_030627_1" xfId="1119" xr:uid="{00000000-0005-0000-0000-00007C040000}"/>
    <cellStyle name="見積桁区切り_WRS新卒全体ｽｹｼﾞｭｰﾙ_ソフトSS概算見積_030620_ソフトSS概算見積_030627_JITEC見積_03.10.1" xfId="1120" xr:uid="{00000000-0005-0000-0000-00007D040000}"/>
    <cellStyle name="見積-桁区切り_WRS新卒全体ｽｹｼﾞｭｰﾙ_ソフトSS概算見積_030620_ソフトSS概算見積_030627_JITEC見積_03.10.1" xfId="1121" xr:uid="{00000000-0005-0000-0000-00007E040000}"/>
    <cellStyle name="見積桁区切り_WRS新卒全体ｽｹｼﾞｭｰﾙ_ソフトSS概算見積_030620_ソフトSS概算見積_030627_JITEC見積_03.10.1_工数内訳" xfId="1122" xr:uid="{00000000-0005-0000-0000-00007F040000}"/>
    <cellStyle name="見積-桁区切り_WRS新卒全体ｽｹｼﾞｭｰﾙ_ソフトSS概算見積_030620_ソフトSS概算見積_030627_JITEC見積_03.10.1_工数内訳" xfId="1123" xr:uid="{00000000-0005-0000-0000-000080040000}"/>
    <cellStyle name="見積桁区切り_WRS新卒全体ｽｹｼﾞｭｰﾙ_ソフトSS概算見積_030620_ソフトSS概算見積_030627_JITEC見積_03.9.28" xfId="1124" xr:uid="{00000000-0005-0000-0000-000081040000}"/>
    <cellStyle name="見積-桁区切り_WRS新卒全体ｽｹｼﾞｭｰﾙ_ソフトSS概算見積_030620_ソフトSS概算見積_030627_JITEC見積_03.9.28" xfId="1125" xr:uid="{00000000-0005-0000-0000-000082040000}"/>
    <cellStyle name="見積桁区切り_WRS新卒全体ｽｹｼﾞｭｰﾙ_ソフトSS概算見積_030620_ソフトSS概算見積_030627_ソフトSS概算見積_030627" xfId="1126" xr:uid="{00000000-0005-0000-0000-000083040000}"/>
    <cellStyle name="見積-桁区切り_WRS新卒全体ｽｹｼﾞｭｰﾙ_ソフトSS概算見積_030620_ソフトSS概算見積_030627_ソフトSS概算見積_030627" xfId="1127" xr:uid="{00000000-0005-0000-0000-000084040000}"/>
    <cellStyle name="見積桁区切り_WRS新卒全体ｽｹｼﾞｭｰﾙ_ソフトSS概算見積_030620_ソフトSS概算見積_030627_開発見積" xfId="1128" xr:uid="{00000000-0005-0000-0000-000085040000}"/>
    <cellStyle name="見積-桁区切り_WRS新卒全体ｽｹｼﾞｭｰﾙ_ソフトSS概算見積_030620_ソフトSS概算見積_030627_開発見積" xfId="1129" xr:uid="{00000000-0005-0000-0000-000086040000}"/>
    <cellStyle name="見積桁区切り_WRS新卒全体ｽｹｼﾞｭｰﾙ_ソフトSS概算見積_030620_開発見積" xfId="1130" xr:uid="{00000000-0005-0000-0000-000087040000}"/>
    <cellStyle name="見積-桁区切り_WRS新卒全体ｽｹｼﾞｭｰﾙ_ソフトSS概算見積_030620_開発見積" xfId="1131" xr:uid="{00000000-0005-0000-0000-000088040000}"/>
    <cellStyle name="見積桁区切り_WRS新卒全体ｽｹｼﾞｭｰﾙ_ソフトSS概算見積_03062１営業修正" xfId="1132" xr:uid="{00000000-0005-0000-0000-000089040000}"/>
    <cellStyle name="見積-桁区切り_WRS新卒全体ｽｹｼﾞｭｰﾙ_ソフトSS概算見積_03062１営業修正" xfId="1133" xr:uid="{00000000-0005-0000-0000-00008A040000}"/>
    <cellStyle name="見積桁区切り_WRS新卒全体ｽｹｼﾞｭｰﾙ_ソフトSS概算見積_03062１営業修正_＜3産2＞見積条件040127" xfId="1134" xr:uid="{00000000-0005-0000-0000-00008B040000}"/>
    <cellStyle name="見積-桁区切り_WRS新卒全体ｽｹｼﾞｭｰﾙ_ソフトSS概算見積_03062１営業修正_＜3産2＞見積条件040127" xfId="1135" xr:uid="{00000000-0005-0000-0000-00008C040000}"/>
    <cellStyle name="見積桁区切り_WRS新卒全体ｽｹｼﾞｭｰﾙ_ソフトSS概算見積_03062１営業修正_JITEC見積_03.10.1" xfId="1136" xr:uid="{00000000-0005-0000-0000-00008D040000}"/>
    <cellStyle name="見積-桁区切り_WRS新卒全体ｽｹｼﾞｭｰﾙ_ソフトSS概算見積_03062１営業修正_JITEC見積_03.10.1" xfId="1137" xr:uid="{00000000-0005-0000-0000-00008E040000}"/>
    <cellStyle name="見積桁区切り_WRS新卒全体ｽｹｼﾞｭｰﾙ_ソフトSS概算見積_03062１営業修正_JITEC見積_03.10.1_工数内訳" xfId="1138" xr:uid="{00000000-0005-0000-0000-00008F040000}"/>
    <cellStyle name="見積-桁区切り_WRS新卒全体ｽｹｼﾞｭｰﾙ_ソフトSS概算見積_03062１営業修正_JITEC見積_03.10.1_工数内訳" xfId="1139" xr:uid="{00000000-0005-0000-0000-000090040000}"/>
    <cellStyle name="見積桁区切り_WRS新卒全体ｽｹｼﾞｭｰﾙ_ソフトSS概算見積_03062１営業修正_JITEC見積_03.9.28" xfId="1140" xr:uid="{00000000-0005-0000-0000-000091040000}"/>
    <cellStyle name="見積-桁区切り_WRS新卒全体ｽｹｼﾞｭｰﾙ_ソフトSS概算見積_03062１営業修正_JITEC見積_03.9.28" xfId="1141" xr:uid="{00000000-0005-0000-0000-000092040000}"/>
    <cellStyle name="見積桁区切り_WRS新卒全体ｽｹｼﾞｭｰﾙ_ソフトSS概算見積_03062１営業修正_ソフトSS概算見" xfId="1142" xr:uid="{00000000-0005-0000-0000-000093040000}"/>
    <cellStyle name="見積-桁区切り_WRS新卒全体ｽｹｼﾞｭｰﾙ_ソフトSS概算見積_03062１営業修正_ソフトSS概算見" xfId="1143" xr:uid="{00000000-0005-0000-0000-000094040000}"/>
    <cellStyle name="見積桁区切り_WRS新卒全体ｽｹｼﾞｭｰﾙ_ソフトSS概算見積_03062１営業修正_ソフトSS概算見_＜3産2＞見積条件040127" xfId="1144" xr:uid="{00000000-0005-0000-0000-000095040000}"/>
    <cellStyle name="見積-桁区切り_WRS新卒全体ｽｹｼﾞｭｰﾙ_ソフトSS概算見積_03062１営業修正_ソフトSS概算見_＜3産2＞見積条件040127" xfId="1145" xr:uid="{00000000-0005-0000-0000-000096040000}"/>
    <cellStyle name="見積桁区切り_WRS新卒全体ｽｹｼﾞｭｰﾙ_ソフトSS概算見積_03062１営業修正_ソフトSS概算見_JITEC見積_03.10.1" xfId="1146" xr:uid="{00000000-0005-0000-0000-000097040000}"/>
    <cellStyle name="見積-桁区切り_WRS新卒全体ｽｹｼﾞｭｰﾙ_ソフトSS概算見積_03062１営業修正_ソフトSS概算見_JITEC見積_03.10.1" xfId="1147" xr:uid="{00000000-0005-0000-0000-000098040000}"/>
    <cellStyle name="見積桁区切り_WRS新卒全体ｽｹｼﾞｭｰﾙ_ソフトSS概算見積_03062１営業修正_ソフトSS概算見_JITEC見積_03.10.1_工数内訳" xfId="1148" xr:uid="{00000000-0005-0000-0000-000099040000}"/>
    <cellStyle name="見積-桁区切り_WRS新卒全体ｽｹｼﾞｭｰﾙ_ソフトSS概算見積_03062１営業修正_ソフトSS概算見_JITEC見積_03.10.1_工数内訳" xfId="1149" xr:uid="{00000000-0005-0000-0000-00009A040000}"/>
    <cellStyle name="見積桁区切り_WRS新卒全体ｽｹｼﾞｭｰﾙ_ソフトSS概算見積_03062１営業修正_ソフトSS概算見_JITEC見積_03.9.28" xfId="1150" xr:uid="{00000000-0005-0000-0000-00009B040000}"/>
    <cellStyle name="見積-桁区切り_WRS新卒全体ｽｹｼﾞｭｰﾙ_ソフトSS概算見積_03062１営業修正_ソフトSS概算見_JITEC見積_03.9.28" xfId="1151" xr:uid="{00000000-0005-0000-0000-00009C040000}"/>
    <cellStyle name="見積桁区切り_WRS新卒全体ｽｹｼﾞｭｰﾙ_ソフトSS概算見積_03062１営業修正_ソフトSS概算見_開発見積" xfId="1152" xr:uid="{00000000-0005-0000-0000-00009D040000}"/>
    <cellStyle name="見積-桁区切り_WRS新卒全体ｽｹｼﾞｭｰﾙ_ソフトSS概算見積_03062１営業修正_ソフトSS概算見_開発見積" xfId="1153" xr:uid="{00000000-0005-0000-0000-00009E040000}"/>
    <cellStyle name="見積桁区切り_WRS新卒全体ｽｹｼﾞｭｰﾙ_ソフトSS概算見積_03062１営業修正_開発見積" xfId="1154" xr:uid="{00000000-0005-0000-0000-00009F040000}"/>
    <cellStyle name="見積-桁区切り_WRS新卒全体ｽｹｼﾞｭｰﾙ_ソフトSS概算見積_03062１営業修正_開発見積" xfId="1155" xr:uid="{00000000-0005-0000-0000-0000A0040000}"/>
    <cellStyle name="見積桁区切り_WRS新卒全体ｽｹｼﾞｭｰﾙ_ソフトSS概算見積_030627" xfId="1156" xr:uid="{00000000-0005-0000-0000-0000A1040000}"/>
    <cellStyle name="見積-桁区切り_WRS新卒全体ｽｹｼﾞｭｰﾙ_ソフトSS概算見積_030627" xfId="1157" xr:uid="{00000000-0005-0000-0000-0000A2040000}"/>
    <cellStyle name="見積桁区切り_WRS新卒全体ｽｹｼﾞｭｰﾙ_開発見積" xfId="1158" xr:uid="{00000000-0005-0000-0000-0000A3040000}"/>
    <cellStyle name="見積-桁区切り_WRS新卒全体ｽｹｼﾞｭｰﾙ_開発見積" xfId="1159" xr:uid="{00000000-0005-0000-0000-0000A4040000}"/>
    <cellStyle name="見積桁区切り_WRS新卒全体ｽｹｼﾞｭｰﾙ_自治体向けｻｲﾄ構築機能整理表_Ver2" xfId="1160" xr:uid="{00000000-0005-0000-0000-0000A5040000}"/>
    <cellStyle name="見積-桁区切り_WRS新卒全体ｽｹｼﾞｭｰﾙ_自治体向けｻｲﾄ構築機能整理表_Ver2" xfId="1161" xr:uid="{00000000-0005-0000-0000-0000A6040000}"/>
    <cellStyle name="見積桁区切り_WRS新卒全体ｽｹｼﾞｭｰﾙ_提示版" xfId="1162" xr:uid="{00000000-0005-0000-0000-0000A7040000}"/>
    <cellStyle name="見積-桁区切り_WRS新卒全体ｽｹｼﾞｭｰﾙ_提示版" xfId="1163" xr:uid="{00000000-0005-0000-0000-0000A8040000}"/>
    <cellStyle name="見積桁区切り_WRS新卒全体ｽｹｼﾞｭｰﾙ_提示版_＜3産2＞見積条件040127" xfId="1164" xr:uid="{00000000-0005-0000-0000-0000A9040000}"/>
    <cellStyle name="見積-桁区切り_WRS新卒全体ｽｹｼﾞｭｰﾙ_提示版_＜3産2＞見積条件040127" xfId="1165" xr:uid="{00000000-0005-0000-0000-0000AA040000}"/>
    <cellStyle name="見積桁区切り_WRS新卒全体ｽｹｼﾞｭｰﾙ_提示版_JITEC見積_03.10.1" xfId="1166" xr:uid="{00000000-0005-0000-0000-0000AB040000}"/>
    <cellStyle name="見積-桁区切り_WRS新卒全体ｽｹｼﾞｭｰﾙ_提示版_JITEC見積_03.10.1" xfId="1167" xr:uid="{00000000-0005-0000-0000-0000AC040000}"/>
    <cellStyle name="見積桁区切り_WRS新卒全体ｽｹｼﾞｭｰﾙ_提示版_JITEC見積_03.10.1_工数内訳" xfId="1168" xr:uid="{00000000-0005-0000-0000-0000AD040000}"/>
    <cellStyle name="見積-桁区切り_WRS新卒全体ｽｹｼﾞｭｰﾙ_提示版_JITEC見積_03.10.1_工数内訳" xfId="1169" xr:uid="{00000000-0005-0000-0000-0000AE040000}"/>
    <cellStyle name="見積桁区切り_WRS新卒全体ｽｹｼﾞｭｰﾙ_提示版_JITEC見積_03.9.28" xfId="1170" xr:uid="{00000000-0005-0000-0000-0000AF040000}"/>
    <cellStyle name="見積-桁区切り_WRS新卒全体ｽｹｼﾞｭｰﾙ_提示版_JITEC見積_03.9.28" xfId="1171" xr:uid="{00000000-0005-0000-0000-0000B0040000}"/>
    <cellStyle name="見積桁区切り_WRS新卒全体ｽｹｼﾞｭｰﾙ_提示版_ソフトSS概算見積_030620" xfId="1172" xr:uid="{00000000-0005-0000-0000-0000B1040000}"/>
    <cellStyle name="見積-桁区切り_WRS新卒全体ｽｹｼﾞｭｰﾙ_提示版_ソフトSS概算見積_030620" xfId="1173" xr:uid="{00000000-0005-0000-0000-0000B2040000}"/>
    <cellStyle name="見積桁区切り_WRS新卒全体ｽｹｼﾞｭｰﾙ_提示版_ソフトSS概算見積_030620_＜3産2＞見積条件040127" xfId="1174" xr:uid="{00000000-0005-0000-0000-0000B3040000}"/>
    <cellStyle name="見積-桁区切り_WRS新卒全体ｽｹｼﾞｭｰﾙ_提示版_ソフトSS概算見積_030620_＜3産2＞見積条件040127" xfId="1175" xr:uid="{00000000-0005-0000-0000-0000B4040000}"/>
    <cellStyle name="見積桁区切り_WRS新卒全体ｽｹｼﾞｭｰﾙ_提示版_ソフトSS概算見積_030620_1" xfId="1176" xr:uid="{00000000-0005-0000-0000-0000B5040000}"/>
    <cellStyle name="見積-桁区切り_WRS新卒全体ｽｹｼﾞｭｰﾙ_提示版_ソフトSS概算見積_030620_1" xfId="1177" xr:uid="{00000000-0005-0000-0000-0000B6040000}"/>
    <cellStyle name="見積桁区切り_WRS新卒全体ｽｹｼﾞｭｰﾙ_提示版_ソフトSS概算見積_030620_JITEC見積_03.10.1" xfId="1178" xr:uid="{00000000-0005-0000-0000-0000B7040000}"/>
    <cellStyle name="見積-桁区切り_WRS新卒全体ｽｹｼﾞｭｰﾙ_提示版_ソフトSS概算見積_030620_JITEC見積_03.10.1" xfId="1179" xr:uid="{00000000-0005-0000-0000-0000B8040000}"/>
    <cellStyle name="見積桁区切り_WRS新卒全体ｽｹｼﾞｭｰﾙ_提示版_ソフトSS概算見積_030620_JITEC見積_03.10.1_工数内訳" xfId="1180" xr:uid="{00000000-0005-0000-0000-0000B9040000}"/>
    <cellStyle name="見積-桁区切り_WRS新卒全体ｽｹｼﾞｭｰﾙ_提示版_ソフトSS概算見積_030620_JITEC見積_03.10.1_工数内訳" xfId="1181" xr:uid="{00000000-0005-0000-0000-0000BA040000}"/>
    <cellStyle name="見積桁区切り_WRS新卒全体ｽｹｼﾞｭｰﾙ_提示版_ソフトSS概算見積_030620_JITEC見積_03.9.28" xfId="1182" xr:uid="{00000000-0005-0000-0000-0000BB040000}"/>
    <cellStyle name="見積-桁区切り_WRS新卒全体ｽｹｼﾞｭｰﾙ_提示版_ソフトSS概算見積_030620_JITEC見積_03.9.28" xfId="1183" xr:uid="{00000000-0005-0000-0000-0000BC040000}"/>
    <cellStyle name="見積桁区切り_WRS新卒全体ｽｹｼﾞｭｰﾙ_提示版_ソフトSS概算見積_030620_ソフトSS概算見" xfId="1184" xr:uid="{00000000-0005-0000-0000-0000BD040000}"/>
    <cellStyle name="見積-桁区切り_WRS新卒全体ｽｹｼﾞｭｰﾙ_提示版_ソフトSS概算見積_030620_ソフトSS概算見" xfId="1185" xr:uid="{00000000-0005-0000-0000-0000BE040000}"/>
    <cellStyle name="見積桁区切り_WRS新卒全体ｽｹｼﾞｭｰﾙ_提示版_ソフトSS概算見積_030620_ソフトSS概算見_＜3産2＞見積条件040127" xfId="1186" xr:uid="{00000000-0005-0000-0000-0000BF040000}"/>
    <cellStyle name="見積-桁区切り_WRS新卒全体ｽｹｼﾞｭｰﾙ_提示版_ソフトSS概算見積_030620_ソフトSS概算見_＜3産2＞見積条件040127" xfId="1187" xr:uid="{00000000-0005-0000-0000-0000C0040000}"/>
    <cellStyle name="見積桁区切り_WRS新卒全体ｽｹｼﾞｭｰﾙ_提示版_ソフトSS概算見積_030620_ソフトSS概算見_JITEC見積_03.10.1" xfId="1188" xr:uid="{00000000-0005-0000-0000-0000C1040000}"/>
    <cellStyle name="見積-桁区切り_WRS新卒全体ｽｹｼﾞｭｰﾙ_提示版_ソフトSS概算見積_030620_ソフトSS概算見_JITEC見積_03.10.1" xfId="1189" xr:uid="{00000000-0005-0000-0000-0000C2040000}"/>
    <cellStyle name="見積桁区切り_WRS新卒全体ｽｹｼﾞｭｰﾙ_提示版_ソフトSS概算見積_030620_ソフトSS概算見_JITEC見積_03.10.1_工数内訳" xfId="1190" xr:uid="{00000000-0005-0000-0000-0000C3040000}"/>
    <cellStyle name="見積-桁区切り_WRS新卒全体ｽｹｼﾞｭｰﾙ_提示版_ソフトSS概算見積_030620_ソフトSS概算見_JITEC見積_03.10.1_工数内訳" xfId="1191" xr:uid="{00000000-0005-0000-0000-0000C4040000}"/>
    <cellStyle name="見積桁区切り_WRS新卒全体ｽｹｼﾞｭｰﾙ_提示版_ソフトSS概算見積_030620_ソフトSS概算見_JITEC見積_03.9.28" xfId="1192" xr:uid="{00000000-0005-0000-0000-0000C5040000}"/>
    <cellStyle name="見積-桁区切り_WRS新卒全体ｽｹｼﾞｭｰﾙ_提示版_ソフトSS概算見積_030620_ソフトSS概算見_JITEC見積_03.9.28" xfId="1193" xr:uid="{00000000-0005-0000-0000-0000C6040000}"/>
    <cellStyle name="見積桁区切り_WRS新卒全体ｽｹｼﾞｭｰﾙ_提示版_ソフトSS概算見積_030620_ソフトSS概算見_開発見積" xfId="1194" xr:uid="{00000000-0005-0000-0000-0000C7040000}"/>
    <cellStyle name="見積-桁区切り_WRS新卒全体ｽｹｼﾞｭｰﾙ_提示版_ソフトSS概算見積_030620_ソフトSS概算見_開発見積" xfId="1195" xr:uid="{00000000-0005-0000-0000-0000C8040000}"/>
    <cellStyle name="見積桁区切り_WRS新卒全体ｽｹｼﾞｭｰﾙ_提示版_ソフトSS概算見積_030620_ソフトSS概算見積_030620" xfId="1196" xr:uid="{00000000-0005-0000-0000-0000C9040000}"/>
    <cellStyle name="見積-桁区切り_WRS新卒全体ｽｹｼﾞｭｰﾙ_提示版_ソフトSS概算見積_030620_ソフトSS概算見積_030620" xfId="1197" xr:uid="{00000000-0005-0000-0000-0000CA040000}"/>
    <cellStyle name="見積桁区切り_WRS新卒全体ｽｹｼﾞｭｰﾙ_提示版_ソフトSS概算見積_030620_ソフトSS概算見積_030627" xfId="1198" xr:uid="{00000000-0005-0000-0000-0000CB040000}"/>
    <cellStyle name="見積-桁区切り_WRS新卒全体ｽｹｼﾞｭｰﾙ_提示版_ソフトSS概算見積_030620_ソフトSS概算見積_030627" xfId="1199" xr:uid="{00000000-0005-0000-0000-0000CC040000}"/>
    <cellStyle name="見積桁区切り_WRS新卒全体ｽｹｼﾞｭｰﾙ_提示版_ソフトSS概算見積_030620_ソフトSS概算見積_030627_＜3産2＞見積条件040127" xfId="1200" xr:uid="{00000000-0005-0000-0000-0000CD040000}"/>
    <cellStyle name="見積-桁区切り_WRS新卒全体ｽｹｼﾞｭｰﾙ_提示版_ソフトSS概算見積_030620_ソフトSS概算見積_030627_＜3産2＞見積条件040127" xfId="1201" xr:uid="{00000000-0005-0000-0000-0000CE040000}"/>
    <cellStyle name="見積桁区切り_WRS新卒全体ｽｹｼﾞｭｰﾙ_提示版_ソフトSS概算見積_030620_ソフトSS概算見積_030627_1" xfId="1202" xr:uid="{00000000-0005-0000-0000-0000CF040000}"/>
    <cellStyle name="見積-桁区切り_WRS新卒全体ｽｹｼﾞｭｰﾙ_提示版_ソフトSS概算見積_030620_ソフトSS概算見積_030627_1" xfId="1203" xr:uid="{00000000-0005-0000-0000-0000D0040000}"/>
    <cellStyle name="見積桁区切り_WRS新卒全体ｽｹｼﾞｭｰﾙ_提示版_ソフトSS概算見積_030620_ソフトSS概算見積_030627_JITEC見積_03.10.1" xfId="1204" xr:uid="{00000000-0005-0000-0000-0000D1040000}"/>
    <cellStyle name="見積-桁区切り_WRS新卒全体ｽｹｼﾞｭｰﾙ_提示版_ソフトSS概算見積_030620_ソフトSS概算見積_030627_JITEC見積_03.10.1" xfId="1205" xr:uid="{00000000-0005-0000-0000-0000D2040000}"/>
    <cellStyle name="見積桁区切り_WRS新卒全体ｽｹｼﾞｭｰﾙ_提示版_ソフトSS概算見積_030620_ソフトSS概算見積_030627_JITEC見積_03.10.1_工数内訳" xfId="1206" xr:uid="{00000000-0005-0000-0000-0000D3040000}"/>
    <cellStyle name="見積-桁区切り_WRS新卒全体ｽｹｼﾞｭｰﾙ_提示版_ソフトSS概算見積_030620_ソフトSS概算見積_030627_JITEC見積_03.10.1_工数内訳" xfId="1207" xr:uid="{00000000-0005-0000-0000-0000D4040000}"/>
    <cellStyle name="見積桁区切り_WRS新卒全体ｽｹｼﾞｭｰﾙ_提示版_ソフトSS概算見積_030620_ソフトSS概算見積_030627_JITEC見積_03.9.28" xfId="1208" xr:uid="{00000000-0005-0000-0000-0000D5040000}"/>
    <cellStyle name="見積-桁区切り_WRS新卒全体ｽｹｼﾞｭｰﾙ_提示版_ソフトSS概算見積_030620_ソフトSS概算見積_030627_JITEC見積_03.9.28" xfId="1209" xr:uid="{00000000-0005-0000-0000-0000D6040000}"/>
    <cellStyle name="見積桁区切り_WRS新卒全体ｽｹｼﾞｭｰﾙ_提示版_ソフトSS概算見積_030620_ソフトSS概算見積_030627_ソフトSS概算見積_030627" xfId="1210" xr:uid="{00000000-0005-0000-0000-0000D7040000}"/>
    <cellStyle name="見積-桁区切り_WRS新卒全体ｽｹｼﾞｭｰﾙ_提示版_ソフトSS概算見積_030620_ソフトSS概算見積_030627_ソフトSS概算見積_030627" xfId="1211" xr:uid="{00000000-0005-0000-0000-0000D8040000}"/>
    <cellStyle name="見積桁区切り_WRS新卒全体ｽｹｼﾞｭｰﾙ_提示版_ソフトSS概算見積_030620_ソフトSS概算見積_030627_開発見積" xfId="1212" xr:uid="{00000000-0005-0000-0000-0000D9040000}"/>
    <cellStyle name="見積-桁区切り_WRS新卒全体ｽｹｼﾞｭｰﾙ_提示版_ソフトSS概算見積_030620_ソフトSS概算見積_030627_開発見積" xfId="1213" xr:uid="{00000000-0005-0000-0000-0000DA040000}"/>
    <cellStyle name="見積桁区切り_WRS新卒全体ｽｹｼﾞｭｰﾙ_提示版_ソフトSS概算見積_030620_開発見積" xfId="1214" xr:uid="{00000000-0005-0000-0000-0000DB040000}"/>
    <cellStyle name="見積-桁区切り_WRS新卒全体ｽｹｼﾞｭｰﾙ_提示版_ソフトSS概算見積_030620_開発見積" xfId="1215" xr:uid="{00000000-0005-0000-0000-0000DC040000}"/>
    <cellStyle name="見積桁区切り_WRS新卒全体ｽｹｼﾞｭｰﾙ_提示版_ソフトSS概算見積_03062１営業修正" xfId="1216" xr:uid="{00000000-0005-0000-0000-0000DD040000}"/>
    <cellStyle name="見積-桁区切り_WRS新卒全体ｽｹｼﾞｭｰﾙ_提示版_ソフトSS概算見積_03062１営業修正" xfId="1217" xr:uid="{00000000-0005-0000-0000-0000DE040000}"/>
    <cellStyle name="見積桁区切り_WRS新卒全体ｽｹｼﾞｭｰﾙ_提示版_ソフトSS概算見積_03062１営業修正_＜3産2＞見積条件040127" xfId="1218" xr:uid="{00000000-0005-0000-0000-0000DF040000}"/>
    <cellStyle name="見積-桁区切り_WRS新卒全体ｽｹｼﾞｭｰﾙ_提示版_ソフトSS概算見積_03062１営業修正_＜3産2＞見積条件040127" xfId="1219" xr:uid="{00000000-0005-0000-0000-0000E0040000}"/>
    <cellStyle name="見積桁区切り_WRS新卒全体ｽｹｼﾞｭｰﾙ_提示版_ソフトSS概算見積_03062１営業修正_JITEC見積_03.10.1" xfId="1220" xr:uid="{00000000-0005-0000-0000-0000E1040000}"/>
    <cellStyle name="見積-桁区切り_WRS新卒全体ｽｹｼﾞｭｰﾙ_提示版_ソフトSS概算見積_03062１営業修正_JITEC見積_03.10.1" xfId="1221" xr:uid="{00000000-0005-0000-0000-0000E2040000}"/>
    <cellStyle name="見積桁区切り_WRS新卒全体ｽｹｼﾞｭｰﾙ_提示版_ソフトSS概算見積_03062１営業修正_JITEC見積_03.10.1_工数内訳" xfId="1222" xr:uid="{00000000-0005-0000-0000-0000E3040000}"/>
    <cellStyle name="見積-桁区切り_WRS新卒全体ｽｹｼﾞｭｰﾙ_提示版_ソフトSS概算見積_03062１営業修正_JITEC見積_03.10.1_工数内訳" xfId="1223" xr:uid="{00000000-0005-0000-0000-0000E4040000}"/>
    <cellStyle name="見積桁区切り_WRS新卒全体ｽｹｼﾞｭｰﾙ_提示版_ソフトSS概算見積_03062１営業修正_JITEC見積_03.9.28" xfId="1224" xr:uid="{00000000-0005-0000-0000-0000E5040000}"/>
    <cellStyle name="見積-桁区切り_WRS新卒全体ｽｹｼﾞｭｰﾙ_提示版_ソフトSS概算見積_03062１営業修正_JITEC見積_03.9.28" xfId="1225" xr:uid="{00000000-0005-0000-0000-0000E6040000}"/>
    <cellStyle name="見積桁区切り_WRS新卒全体ｽｹｼﾞｭｰﾙ_提示版_ソフトSS概算見積_03062１営業修正_ソフトSS概算見" xfId="1226" xr:uid="{00000000-0005-0000-0000-0000E7040000}"/>
    <cellStyle name="見積-桁区切り_WRS新卒全体ｽｹｼﾞｭｰﾙ_提示版_ソフトSS概算見積_03062１営業修正_ソフトSS概算見" xfId="1227" xr:uid="{00000000-0005-0000-0000-0000E8040000}"/>
    <cellStyle name="見積桁区切り_WRS新卒全体ｽｹｼﾞｭｰﾙ_提示版_ソフトSS概算見積_03062１営業修正_ソフトSS概算見_＜3産2＞見積条件040127" xfId="1228" xr:uid="{00000000-0005-0000-0000-0000E9040000}"/>
    <cellStyle name="見積-桁区切り_WRS新卒全体ｽｹｼﾞｭｰﾙ_提示版_ソフトSS概算見積_03062１営業修正_ソフトSS概算見_＜3産2＞見積条件040127" xfId="1229" xr:uid="{00000000-0005-0000-0000-0000EA040000}"/>
    <cellStyle name="見積桁区切り_WRS新卒全体ｽｹｼﾞｭｰﾙ_提示版_ソフトSS概算見積_03062１営業修正_ソフトSS概算見_JITEC見積_03.10.1" xfId="1230" xr:uid="{00000000-0005-0000-0000-0000EB040000}"/>
    <cellStyle name="見積-桁区切り_WRS新卒全体ｽｹｼﾞｭｰﾙ_提示版_ソフトSS概算見積_03062１営業修正_ソフトSS概算見_JITEC見積_03.10.1" xfId="1231" xr:uid="{00000000-0005-0000-0000-0000EC040000}"/>
    <cellStyle name="見積桁区切り_WRS新卒全体ｽｹｼﾞｭｰﾙ_提示版_ソフトSS概算見積_03062１営業修正_ソフトSS概算見_JITEC見積_03.10.1_工数内訳" xfId="1232" xr:uid="{00000000-0005-0000-0000-0000ED040000}"/>
    <cellStyle name="見積-桁区切り_WRS新卒全体ｽｹｼﾞｭｰﾙ_提示版_ソフトSS概算見積_03062１営業修正_ソフトSS概算見_JITEC見積_03.10.1_工数内訳" xfId="1233" xr:uid="{00000000-0005-0000-0000-0000EE040000}"/>
    <cellStyle name="見積桁区切り_WRS新卒全体ｽｹｼﾞｭｰﾙ_提示版_ソフトSS概算見積_03062１営業修正_ソフトSS概算見_JITEC見積_03.9.28" xfId="1234" xr:uid="{00000000-0005-0000-0000-0000EF040000}"/>
    <cellStyle name="見積-桁区切り_WRS新卒全体ｽｹｼﾞｭｰﾙ_提示版_ソフトSS概算見積_03062１営業修正_ソフトSS概算見_JITEC見積_03.9.28" xfId="1235" xr:uid="{00000000-0005-0000-0000-0000F0040000}"/>
    <cellStyle name="見積桁区切り_WRS新卒全体ｽｹｼﾞｭｰﾙ_提示版_ソフトSS概算見積_03062１営業修正_ソフトSS概算見_開発見積" xfId="1236" xr:uid="{00000000-0005-0000-0000-0000F1040000}"/>
    <cellStyle name="見積-桁区切り_WRS新卒全体ｽｹｼﾞｭｰﾙ_提示版_ソフトSS概算見積_03062１営業修正_ソフトSS概算見_開発見積" xfId="1237" xr:uid="{00000000-0005-0000-0000-0000F2040000}"/>
    <cellStyle name="見積桁区切り_WRS新卒全体ｽｹｼﾞｭｰﾙ_提示版_ソフトSS概算見積_03062１営業修正_開発見積" xfId="1238" xr:uid="{00000000-0005-0000-0000-0000F3040000}"/>
    <cellStyle name="見積-桁区切り_WRS新卒全体ｽｹｼﾞｭｰﾙ_提示版_ソフトSS概算見積_03062１営業修正_開発見積" xfId="1239" xr:uid="{00000000-0005-0000-0000-0000F4040000}"/>
    <cellStyle name="見積桁区切り_WRS新卒全体ｽｹｼﾞｭｰﾙ_提示版_ソフトSS概算見積_030627" xfId="1240" xr:uid="{00000000-0005-0000-0000-0000F5040000}"/>
    <cellStyle name="見積-桁区切り_WRS新卒全体ｽｹｼﾞｭｰﾙ_提示版_ソフトSS概算見積_030627" xfId="1241" xr:uid="{00000000-0005-0000-0000-0000F6040000}"/>
    <cellStyle name="見積桁区切り_WRS新卒全体ｽｹｼﾞｭｰﾙ_提示版_開発見積" xfId="1242" xr:uid="{00000000-0005-0000-0000-0000F7040000}"/>
    <cellStyle name="見積-桁区切り_WRS新卒全体ｽｹｼﾞｭｰﾙ_提示版_開発見積" xfId="1243" xr:uid="{00000000-0005-0000-0000-0000F8040000}"/>
    <cellStyle name="見積桁区切り_WRS新卒全体ｽｹｼﾞｭｰﾙ_提示版_自治体向けｻｲﾄ構築機能整理表_Ver2" xfId="1244" xr:uid="{00000000-0005-0000-0000-0000F9040000}"/>
    <cellStyle name="見積-桁区切り_WRS新卒全体ｽｹｼﾞｭｰﾙ_提示版_自治体向けｻｲﾄ構築機能整理表_Ver2" xfId="1245" xr:uid="{00000000-0005-0000-0000-0000FA040000}"/>
    <cellStyle name="見積桁区切り_カスタマイズ（予測含む）11_21" xfId="1246" xr:uid="{00000000-0005-0000-0000-0000FB040000}"/>
    <cellStyle name="見積-桁区切り_カスタマイズ（予測含む）11_21" xfId="1247" xr:uid="{00000000-0005-0000-0000-0000FC040000}"/>
    <cellStyle name="見積桁区切り_カスタマイズ（予測含む）11_21_寄健康２" xfId="1248" xr:uid="{00000000-0005-0000-0000-0000FD040000}"/>
    <cellStyle name="見積-桁区切り_カスタマイズ（予測含む）11_21_寄健康２" xfId="1249" xr:uid="{00000000-0005-0000-0000-0000FE040000}"/>
    <cellStyle name="見積桁区切り_カスタマイズ（予測含む）11_21_行田健康" xfId="1250" xr:uid="{00000000-0005-0000-0000-0000FF040000}"/>
    <cellStyle name="見積-桁区切り_カスタマイズ（予測含む）11_21_行田健康" xfId="1251" xr:uid="{00000000-0005-0000-0000-000000050000}"/>
    <cellStyle name="見積桁区切り_カスタマイズ（予測含む）11_21_行田健康4" xfId="1252" xr:uid="{00000000-0005-0000-0000-000001050000}"/>
    <cellStyle name="見積-桁区切り_カスタマイズ（予測含む）11_21_行田健康4" xfId="1253" xr:uid="{00000000-0005-0000-0000-000002050000}"/>
    <cellStyle name="見積桁区切り_カスタマイズ（予測含む）11_21_年度別見積" xfId="1254" xr:uid="{00000000-0005-0000-0000-000003050000}"/>
    <cellStyle name="見積-桁区切り_カスタマイズ（予測含む）11_21_年度別見積" xfId="1255" xr:uid="{00000000-0005-0000-0000-000004050000}"/>
    <cellStyle name="見積桁区切り_カスタマイズ（予測含む）11_21_年度別見積 (2)" xfId="1256" xr:uid="{00000000-0005-0000-0000-000005050000}"/>
    <cellStyle name="見積-桁区切り_カスタマイズ（予測含む）11_21_年度別見積 (2)" xfId="1257" xr:uid="{00000000-0005-0000-0000-000006050000}"/>
    <cellStyle name="見積桁区切り_ﾊｰﾄﾞｿﾌﾄ費用" xfId="1258" xr:uid="{00000000-0005-0000-0000-000007050000}"/>
    <cellStyle name="見積-桁区切り_ﾊｰﾄﾞｿﾌﾄ費用" xfId="1259" xr:uid="{00000000-0005-0000-0000-000008050000}"/>
    <cellStyle name="見積桁区切り_ﾊｰﾄﾞｿﾌﾄ費用_【別紙】Millemasseお見積詳細資料" xfId="1260" xr:uid="{00000000-0005-0000-0000-000009050000}"/>
    <cellStyle name="見積-桁区切り_ﾊｰﾄﾞｿﾌﾄ費用_【別紙】Millemasseお見積詳細資料" xfId="1261" xr:uid="{00000000-0005-0000-0000-00000A050000}"/>
    <cellStyle name="見積桁区切り_ﾊｰﾄﾞｿﾌﾄ費用_20061006_【別紙】Millemasseお見積詳細資料" xfId="1262" xr:uid="{00000000-0005-0000-0000-00000B050000}"/>
    <cellStyle name="見積-桁区切り_ﾊｰﾄﾞｿﾌﾄ費用_20061006_【別紙】Millemasseお見積詳細資料" xfId="1263" xr:uid="{00000000-0005-0000-0000-00000C050000}"/>
    <cellStyle name="見積桁区切り_ﾊｰﾄﾞｿﾌﾄ費用_GadianWal20061002_r2" xfId="1264" xr:uid="{00000000-0005-0000-0000-00000D050000}"/>
    <cellStyle name="見積-桁区切り_ﾊｰﾄﾞｿﾌﾄ費用_GadianWal20061002_r2" xfId="1265" xr:uid="{00000000-0005-0000-0000-00000E050000}"/>
    <cellStyle name="見積桁区切り_ﾊｰﾄﾞｿﾌﾄ費用_GadianWal20061002_r2_20061006_【別紙】Millemasseお見積詳細資料" xfId="1266" xr:uid="{00000000-0005-0000-0000-00000F050000}"/>
    <cellStyle name="見積-桁区切り_ﾊｰﾄﾞｿﾌﾄ費用_GadianWal20061002_r2_20061006_【別紙】Millemasseお見積詳細資料" xfId="1267" xr:uid="{00000000-0005-0000-0000-000010050000}"/>
    <cellStyle name="見積桁区切り_ﾊｰﾄﾞｿﾌﾄ費用_トーヨーカネツ構成案1" xfId="1268" xr:uid="{00000000-0005-0000-0000-000011050000}"/>
    <cellStyle name="見積-桁区切り_ﾊｰﾄﾞｿﾌﾄ費用_トーヨーカネツ構成案1" xfId="1269" xr:uid="{00000000-0005-0000-0000-000012050000}"/>
    <cellStyle name="見積桁区切り_ﾊｰﾄﾞｿﾌﾄ費用_トーヨーカネツ構成案1_【別紙】Millemasseお見積詳細資料" xfId="1270" xr:uid="{00000000-0005-0000-0000-000013050000}"/>
    <cellStyle name="見積-桁区切り_ﾊｰﾄﾞｿﾌﾄ費用_トーヨーカネツ構成案1_【別紙】Millemasseお見積詳細資料" xfId="1271" xr:uid="{00000000-0005-0000-0000-000014050000}"/>
    <cellStyle name="見積桁区切り_ﾊｰﾄﾞｿﾌﾄ費用_トーヨーカネツ構成案1_20061006_【別紙】Millemasseお見積詳細資料" xfId="1272" xr:uid="{00000000-0005-0000-0000-000015050000}"/>
    <cellStyle name="見積-桁区切り_ﾊｰﾄﾞｿﾌﾄ費用_トーヨーカネツ構成案1_20061006_【別紙】Millemasseお見積詳細資料" xfId="1273" xr:uid="{00000000-0005-0000-0000-000016050000}"/>
    <cellStyle name="見積桁区切り_ﾊｰﾄﾞｿﾌﾄ費用_トーヨーカネツ構成案1_GadianWal20061002_r2" xfId="1274" xr:uid="{00000000-0005-0000-0000-000017050000}"/>
    <cellStyle name="見積-桁区切り_ﾊｰﾄﾞｿﾌﾄ費用_トーヨーカネツ構成案1_GadianWal20061002_r2" xfId="1275" xr:uid="{00000000-0005-0000-0000-000018050000}"/>
    <cellStyle name="見積桁区切り_ﾊｰﾄﾞｿﾌﾄ費用_トーヨーカネツ構成案1_GadianWal20061002_r2_20061006_【別紙】Millemasseお見積詳細資料" xfId="1276" xr:uid="{00000000-0005-0000-0000-000019050000}"/>
    <cellStyle name="見積-桁区切り_ﾊｰﾄﾞｿﾌﾄ費用_トーヨーカネツ構成案1_GadianWal20061002_r2_20061006_【別紙】Millemasseお見積詳細資料" xfId="1277" xr:uid="{00000000-0005-0000-0000-00001A050000}"/>
    <cellStyle name="見積桁区切り_ﾊｰﾄﾞｿﾌﾄ費用_ﾊｰﾄﾞｿﾌﾄ1115" xfId="1278" xr:uid="{00000000-0005-0000-0000-00001B050000}"/>
    <cellStyle name="見積-桁区切り_ﾊｰﾄﾞｿﾌﾄ費用_ﾊｰﾄﾞｿﾌﾄ1115" xfId="1279" xr:uid="{00000000-0005-0000-0000-00001C050000}"/>
    <cellStyle name="見積桁区切り_ﾊｰﾄﾞｿﾌﾄ費用_ﾊｰﾄﾞｿﾌﾄ1115_【別紙】Millemasseお見積詳細資料" xfId="1280" xr:uid="{00000000-0005-0000-0000-00001D050000}"/>
    <cellStyle name="見積-桁区切り_ﾊｰﾄﾞｿﾌﾄ費用_ﾊｰﾄﾞｿﾌﾄ1115_【別紙】Millemasseお見積詳細資料" xfId="1281" xr:uid="{00000000-0005-0000-0000-00001E050000}"/>
    <cellStyle name="見積桁区切り_ﾊｰﾄﾞｿﾌﾄ費用_ﾊｰﾄﾞｿﾌﾄ1115_20061006_【別紙】Millemasseお見積詳細資料" xfId="1282" xr:uid="{00000000-0005-0000-0000-00001F050000}"/>
    <cellStyle name="見積-桁区切り_ﾊｰﾄﾞｿﾌﾄ費用_ﾊｰﾄﾞｿﾌﾄ1115_20061006_【別紙】Millemasseお見積詳細資料" xfId="1283" xr:uid="{00000000-0005-0000-0000-000020050000}"/>
    <cellStyle name="見積桁区切り_ﾊｰﾄﾞｿﾌﾄ費用_ﾊｰﾄﾞｿﾌﾄ1115_GadianWal20061002_r2" xfId="1284" xr:uid="{00000000-0005-0000-0000-000021050000}"/>
    <cellStyle name="見積-桁区切り_ﾊｰﾄﾞｿﾌﾄ費用_ﾊｰﾄﾞｿﾌﾄ1115_GadianWal20061002_r2" xfId="1285" xr:uid="{00000000-0005-0000-0000-000022050000}"/>
    <cellStyle name="見積桁区切り_ﾊｰﾄﾞｿﾌﾄ費用_ﾊｰﾄﾞｿﾌﾄ1115_GadianWal20061002_r2_20061006_【別紙】Millemasseお見積詳細資料" xfId="1286" xr:uid="{00000000-0005-0000-0000-000023050000}"/>
    <cellStyle name="見積-桁区切り_ﾊｰﾄﾞｿﾌﾄ費用_ﾊｰﾄﾞｿﾌﾄ1115_GadianWal20061002_r2_20061006_【別紙】Millemasseお見積詳細資料" xfId="1287" xr:uid="{00000000-0005-0000-0000-000024050000}"/>
    <cellStyle name="見積桁区切り_ﾊｰﾄﾞｿﾌﾄ費用_ﾊｰﾄﾞｿﾌﾄ1115_トーヨーカネツ構成案1" xfId="1288" xr:uid="{00000000-0005-0000-0000-000025050000}"/>
    <cellStyle name="見積-桁区切り_ﾊｰﾄﾞｿﾌﾄ費用_ﾊｰﾄﾞｿﾌﾄ1115_トーヨーカネツ構成案1" xfId="1289" xr:uid="{00000000-0005-0000-0000-000026050000}"/>
    <cellStyle name="見積桁区切り_ﾊｰﾄﾞｿﾌﾄ費用_ﾊｰﾄﾞｿﾌﾄ1115_トーヨーカネツ構成案1_【別紙】Millemasseお見積詳細資料" xfId="1290" xr:uid="{00000000-0005-0000-0000-000027050000}"/>
    <cellStyle name="見積-桁区切り_ﾊｰﾄﾞｿﾌﾄ費用_ﾊｰﾄﾞｿﾌﾄ1115_トーヨーカネツ構成案1_【別紙】Millemasseお見積詳細資料" xfId="1291" xr:uid="{00000000-0005-0000-0000-000028050000}"/>
    <cellStyle name="見積桁区切り_ﾊｰﾄﾞｿﾌﾄ費用_ﾊｰﾄﾞｿﾌﾄ1115_トーヨーカネツ構成案1_20061006_【別紙】Millemasseお見積詳細資料" xfId="1292" xr:uid="{00000000-0005-0000-0000-000029050000}"/>
    <cellStyle name="見積-桁区切り_ﾊｰﾄﾞｿﾌﾄ費用_ﾊｰﾄﾞｿﾌﾄ1115_トーヨーカネツ構成案1_20061006_【別紙】Millemasseお見積詳細資料" xfId="1293" xr:uid="{00000000-0005-0000-0000-00002A050000}"/>
    <cellStyle name="見積桁区切り_ﾊｰﾄﾞｿﾌﾄ費用_ﾊｰﾄﾞｿﾌﾄ1115_トーヨーカネツ構成案1_GadianWal20061002_r2" xfId="1294" xr:uid="{00000000-0005-0000-0000-00002B050000}"/>
    <cellStyle name="見積-桁区切り_ﾊｰﾄﾞｿﾌﾄ費用_ﾊｰﾄﾞｿﾌﾄ1115_トーヨーカネツ構成案1_GadianWal20061002_r2" xfId="1295" xr:uid="{00000000-0005-0000-0000-00002C050000}"/>
    <cellStyle name="見積桁区切り_ﾊｰﾄﾞｿﾌﾄ費用_ﾊｰﾄﾞｿﾌﾄ1115_トーヨーカネツ構成案1_GadianWal20061002_r2_20061006_【別紙】Millemasseお見積詳細資料" xfId="1296" xr:uid="{00000000-0005-0000-0000-00002D050000}"/>
    <cellStyle name="見積-桁区切り_ﾊｰﾄﾞｿﾌﾄ費用_ﾊｰﾄﾞｿﾌﾄ1115_トーヨーカネツ構成案1_GadianWal20061002_r2_20061006_【別紙】Millemasseお見積詳細資料" xfId="1297" xr:uid="{00000000-0005-0000-0000-00002E050000}"/>
    <cellStyle name="見積桁区切り_基本設計" xfId="1298" xr:uid="{00000000-0005-0000-0000-00002F050000}"/>
    <cellStyle name="見積-桁区切り_基本設計" xfId="1299" xr:uid="{00000000-0005-0000-0000-000030050000}"/>
    <cellStyle name="見積桁区切り_基本設計_＜3産2＞見積条件040127" xfId="1300" xr:uid="{00000000-0005-0000-0000-000031050000}"/>
    <cellStyle name="見積-桁区切り_基本設計_＜3産2＞見積条件040127" xfId="1301" xr:uid="{00000000-0005-0000-0000-000032050000}"/>
    <cellStyle name="見積桁区切り_基本設計_JITEC見積_03.10.1" xfId="1302" xr:uid="{00000000-0005-0000-0000-000033050000}"/>
    <cellStyle name="見積-桁区切り_基本設計_JITEC見積_03.10.1" xfId="1303" xr:uid="{00000000-0005-0000-0000-000034050000}"/>
    <cellStyle name="見積桁区切り_基本設計_JITEC見積_03.10.1_工数内訳" xfId="1304" xr:uid="{00000000-0005-0000-0000-000035050000}"/>
    <cellStyle name="見積-桁区切り_基本設計_JITEC見積_03.10.1_工数内訳" xfId="1305" xr:uid="{00000000-0005-0000-0000-000036050000}"/>
    <cellStyle name="見積桁区切り_基本設計_JITEC見積_03.9.28" xfId="1306" xr:uid="{00000000-0005-0000-0000-000037050000}"/>
    <cellStyle name="見積-桁区切り_基本設計_JITEC見積_03.9.28" xfId="1307" xr:uid="{00000000-0005-0000-0000-000038050000}"/>
    <cellStyle name="見積桁区切り_基本設計_ソフトSS概算見積_030620" xfId="1308" xr:uid="{00000000-0005-0000-0000-000039050000}"/>
    <cellStyle name="見積-桁区切り_基本設計_ソフトSS概算見積_030620" xfId="1309" xr:uid="{00000000-0005-0000-0000-00003A050000}"/>
    <cellStyle name="見積桁区切り_基本設計_ソフトSS概算見積_030620_＜3産2＞見積条件040127" xfId="1310" xr:uid="{00000000-0005-0000-0000-00003B050000}"/>
    <cellStyle name="見積-桁区切り_基本設計_ソフトSS概算見積_030620_＜3産2＞見積条件040127" xfId="1311" xr:uid="{00000000-0005-0000-0000-00003C050000}"/>
    <cellStyle name="見積桁区切り_基本設計_ソフトSS概算見積_030620_1" xfId="1312" xr:uid="{00000000-0005-0000-0000-00003D050000}"/>
    <cellStyle name="見積-桁区切り_基本設計_ソフトSS概算見積_030620_1" xfId="1313" xr:uid="{00000000-0005-0000-0000-00003E050000}"/>
    <cellStyle name="見積桁区切り_基本設計_ソフトSS概算見積_030620_JITEC見積_03.10.1" xfId="1314" xr:uid="{00000000-0005-0000-0000-00003F050000}"/>
    <cellStyle name="見積-桁区切り_基本設計_ソフトSS概算見積_030620_JITEC見積_03.10.1" xfId="1315" xr:uid="{00000000-0005-0000-0000-000040050000}"/>
    <cellStyle name="見積桁区切り_基本設計_ソフトSS概算見積_030620_JITEC見積_03.10.1_工数内訳" xfId="1316" xr:uid="{00000000-0005-0000-0000-000041050000}"/>
    <cellStyle name="見積-桁区切り_基本設計_ソフトSS概算見積_030620_JITEC見積_03.10.1_工数内訳" xfId="1317" xr:uid="{00000000-0005-0000-0000-000042050000}"/>
    <cellStyle name="見積桁区切り_基本設計_ソフトSS概算見積_030620_JITEC見積_03.9.28" xfId="1318" xr:uid="{00000000-0005-0000-0000-000043050000}"/>
    <cellStyle name="見積-桁区切り_基本設計_ソフトSS概算見積_030620_JITEC見積_03.9.28" xfId="1319" xr:uid="{00000000-0005-0000-0000-000044050000}"/>
    <cellStyle name="見積桁区切り_基本設計_ソフトSS概算見積_030620_ソフトSS概算見" xfId="1320" xr:uid="{00000000-0005-0000-0000-000045050000}"/>
    <cellStyle name="見積-桁区切り_基本設計_ソフトSS概算見積_030620_ソフトSS概算見" xfId="1321" xr:uid="{00000000-0005-0000-0000-000046050000}"/>
    <cellStyle name="見積桁区切り_基本設計_ソフトSS概算見積_030620_ソフトSS概算見_＜3産2＞見積条件040127" xfId="1322" xr:uid="{00000000-0005-0000-0000-000047050000}"/>
    <cellStyle name="見積-桁区切り_基本設計_ソフトSS概算見積_030620_ソフトSS概算見_＜3産2＞見積条件040127" xfId="1323" xr:uid="{00000000-0005-0000-0000-000048050000}"/>
    <cellStyle name="見積桁区切り_基本設計_ソフトSS概算見積_030620_ソフトSS概算見_JITEC見積_03.10.1" xfId="1324" xr:uid="{00000000-0005-0000-0000-000049050000}"/>
    <cellStyle name="見積-桁区切り_基本設計_ソフトSS概算見積_030620_ソフトSS概算見_JITEC見積_03.10.1" xfId="1325" xr:uid="{00000000-0005-0000-0000-00004A050000}"/>
    <cellStyle name="見積桁区切り_基本設計_ソフトSS概算見積_030620_ソフトSS概算見_JITEC見積_03.10.1_工数内訳" xfId="1326" xr:uid="{00000000-0005-0000-0000-00004B050000}"/>
    <cellStyle name="見積-桁区切り_基本設計_ソフトSS概算見積_030620_ソフトSS概算見_JITEC見積_03.10.1_工数内訳" xfId="1327" xr:uid="{00000000-0005-0000-0000-00004C050000}"/>
    <cellStyle name="見積桁区切り_基本設計_ソフトSS概算見積_030620_ソフトSS概算見_JITEC見積_03.9.28" xfId="1328" xr:uid="{00000000-0005-0000-0000-00004D050000}"/>
    <cellStyle name="見積-桁区切り_基本設計_ソフトSS概算見積_030620_ソフトSS概算見_JITEC見積_03.9.28" xfId="1329" xr:uid="{00000000-0005-0000-0000-00004E050000}"/>
    <cellStyle name="見積桁区切り_基本設計_ソフトSS概算見積_030620_ソフトSS概算見_開発見積" xfId="1330" xr:uid="{00000000-0005-0000-0000-00004F050000}"/>
    <cellStyle name="見積-桁区切り_基本設計_ソフトSS概算見積_030620_ソフトSS概算見_開発見積" xfId="1331" xr:uid="{00000000-0005-0000-0000-000050050000}"/>
    <cellStyle name="見積桁区切り_基本設計_ソフトSS概算見積_030620_ソフトSS概算見積_030620" xfId="1332" xr:uid="{00000000-0005-0000-0000-000051050000}"/>
    <cellStyle name="見積-桁区切り_基本設計_ソフトSS概算見積_030620_ソフトSS概算見積_030620" xfId="1333" xr:uid="{00000000-0005-0000-0000-000052050000}"/>
    <cellStyle name="見積桁区切り_基本設計_ソフトSS概算見積_030620_ソフトSS概算見積_030627" xfId="1334" xr:uid="{00000000-0005-0000-0000-000053050000}"/>
    <cellStyle name="見積-桁区切り_基本設計_ソフトSS概算見積_030620_ソフトSS概算見積_030627" xfId="1335" xr:uid="{00000000-0005-0000-0000-000054050000}"/>
    <cellStyle name="見積桁区切り_基本設計_ソフトSS概算見積_030620_ソフトSS概算見積_030627_＜3産2＞見積条件040127" xfId="1336" xr:uid="{00000000-0005-0000-0000-000055050000}"/>
    <cellStyle name="見積-桁区切り_基本設計_ソフトSS概算見積_030620_ソフトSS概算見積_030627_＜3産2＞見積条件040127" xfId="1337" xr:uid="{00000000-0005-0000-0000-000056050000}"/>
    <cellStyle name="見積桁区切り_基本設計_ソフトSS概算見積_030620_ソフトSS概算見積_030627_1" xfId="1338" xr:uid="{00000000-0005-0000-0000-000057050000}"/>
    <cellStyle name="見積-桁区切り_基本設計_ソフトSS概算見積_030620_ソフトSS概算見積_030627_1" xfId="1339" xr:uid="{00000000-0005-0000-0000-000058050000}"/>
    <cellStyle name="見積桁区切り_基本設計_ソフトSS概算見積_030620_ソフトSS概算見積_030627_JITEC見積_03.10.1" xfId="1340" xr:uid="{00000000-0005-0000-0000-000059050000}"/>
    <cellStyle name="見積-桁区切り_基本設計_ソフトSS概算見積_030620_ソフトSS概算見積_030627_JITEC見積_03.10.1" xfId="1341" xr:uid="{00000000-0005-0000-0000-00005A050000}"/>
    <cellStyle name="見積桁区切り_基本設計_ソフトSS概算見積_030620_ソフトSS概算見積_030627_JITEC見積_03.10.1_工数内訳" xfId="1342" xr:uid="{00000000-0005-0000-0000-00005B050000}"/>
    <cellStyle name="見積-桁区切り_基本設計_ソフトSS概算見積_030620_ソフトSS概算見積_030627_JITEC見積_03.10.1_工数内訳" xfId="1343" xr:uid="{00000000-0005-0000-0000-00005C050000}"/>
    <cellStyle name="見積桁区切り_基本設計_ソフトSS概算見積_030620_ソフトSS概算見積_030627_JITEC見積_03.9.28" xfId="1344" xr:uid="{00000000-0005-0000-0000-00005D050000}"/>
    <cellStyle name="見積-桁区切り_基本設計_ソフトSS概算見積_030620_ソフトSS概算見積_030627_JITEC見積_03.9.28" xfId="1345" xr:uid="{00000000-0005-0000-0000-00005E050000}"/>
    <cellStyle name="見積桁区切り_基本設計_ソフトSS概算見積_030620_ソフトSS概算見積_030627_ソフトSS概算見積_030627" xfId="1346" xr:uid="{00000000-0005-0000-0000-00005F050000}"/>
    <cellStyle name="見積-桁区切り_基本設計_ソフトSS概算見積_030620_ソフトSS概算見積_030627_ソフトSS概算見積_030627" xfId="1347" xr:uid="{00000000-0005-0000-0000-000060050000}"/>
    <cellStyle name="見積桁区切り_基本設計_ソフトSS概算見積_030620_ソフトSS概算見積_030627_開発見積" xfId="1348" xr:uid="{00000000-0005-0000-0000-000061050000}"/>
    <cellStyle name="見積-桁区切り_基本設計_ソフトSS概算見積_030620_ソフトSS概算見積_030627_開発見積" xfId="1349" xr:uid="{00000000-0005-0000-0000-000062050000}"/>
    <cellStyle name="見積桁区切り_基本設計_ソフトSS概算見積_030620_開発見積" xfId="1350" xr:uid="{00000000-0005-0000-0000-000063050000}"/>
    <cellStyle name="見積-桁区切り_基本設計_ソフトSS概算見積_030620_開発見積" xfId="1351" xr:uid="{00000000-0005-0000-0000-000064050000}"/>
    <cellStyle name="見積桁区切り_基本設計_ソフトSS概算見積_03062１営業修正" xfId="1352" xr:uid="{00000000-0005-0000-0000-000065050000}"/>
    <cellStyle name="見積-桁区切り_基本設計_ソフトSS概算見積_03062１営業修正" xfId="1353" xr:uid="{00000000-0005-0000-0000-000066050000}"/>
    <cellStyle name="見積桁区切り_基本設計_ソフトSS概算見積_03062１営業修正_＜3産2＞見積条件040127" xfId="1354" xr:uid="{00000000-0005-0000-0000-000067050000}"/>
    <cellStyle name="見積-桁区切り_基本設計_ソフトSS概算見積_03062１営業修正_＜3産2＞見積条件040127" xfId="1355" xr:uid="{00000000-0005-0000-0000-000068050000}"/>
    <cellStyle name="見積桁区切り_基本設計_ソフトSS概算見積_03062１営業修正_JITEC見積_03.10.1" xfId="1356" xr:uid="{00000000-0005-0000-0000-000069050000}"/>
    <cellStyle name="見積-桁区切り_基本設計_ソフトSS概算見積_03062１営業修正_JITEC見積_03.10.1" xfId="1357" xr:uid="{00000000-0005-0000-0000-00006A050000}"/>
    <cellStyle name="見積桁区切り_基本設計_ソフトSS概算見積_03062１営業修正_JITEC見積_03.10.1_工数内訳" xfId="1358" xr:uid="{00000000-0005-0000-0000-00006B050000}"/>
    <cellStyle name="見積-桁区切り_基本設計_ソフトSS概算見積_03062１営業修正_JITEC見積_03.10.1_工数内訳" xfId="1359" xr:uid="{00000000-0005-0000-0000-00006C050000}"/>
    <cellStyle name="見積桁区切り_基本設計_ソフトSS概算見積_03062１営業修正_JITEC見積_03.9.28" xfId="1360" xr:uid="{00000000-0005-0000-0000-00006D050000}"/>
    <cellStyle name="見積-桁区切り_基本設計_ソフトSS概算見積_03062１営業修正_JITEC見積_03.9.28" xfId="1361" xr:uid="{00000000-0005-0000-0000-00006E050000}"/>
    <cellStyle name="見積桁区切り_基本設計_ソフトSS概算見積_03062１営業修正_ソフトSS概算見" xfId="1362" xr:uid="{00000000-0005-0000-0000-00006F050000}"/>
    <cellStyle name="見積-桁区切り_基本設計_ソフトSS概算見積_03062１営業修正_ソフトSS概算見" xfId="1363" xr:uid="{00000000-0005-0000-0000-000070050000}"/>
    <cellStyle name="見積桁区切り_基本設計_ソフトSS概算見積_03062１営業修正_ソフトSS概算見_＜3産2＞見積条件040127" xfId="1364" xr:uid="{00000000-0005-0000-0000-000071050000}"/>
    <cellStyle name="見積-桁区切り_基本設計_ソフトSS概算見積_03062１営業修正_ソフトSS概算見_＜3産2＞見積条件040127" xfId="1365" xr:uid="{00000000-0005-0000-0000-000072050000}"/>
    <cellStyle name="見積桁区切り_基本設計_ソフトSS概算見積_03062１営業修正_ソフトSS概算見_JITEC見積_03.10.1" xfId="1366" xr:uid="{00000000-0005-0000-0000-000073050000}"/>
    <cellStyle name="見積-桁区切り_基本設計_ソフトSS概算見積_03062１営業修正_ソフトSS概算見_JITEC見積_03.10.1" xfId="1367" xr:uid="{00000000-0005-0000-0000-000074050000}"/>
    <cellStyle name="見積桁区切り_基本設計_ソフトSS概算見積_03062１営業修正_ソフトSS概算見_JITEC見積_03.10.1_工数内訳" xfId="1368" xr:uid="{00000000-0005-0000-0000-000075050000}"/>
    <cellStyle name="見積-桁区切り_基本設計_ソフトSS概算見積_03062１営業修正_ソフトSS概算見_JITEC見積_03.10.1_工数内訳" xfId="1369" xr:uid="{00000000-0005-0000-0000-000076050000}"/>
    <cellStyle name="見積桁区切り_基本設計_ソフトSS概算見積_03062１営業修正_ソフトSS概算見_JITEC見積_03.9.28" xfId="1370" xr:uid="{00000000-0005-0000-0000-000077050000}"/>
    <cellStyle name="見積-桁区切り_基本設計_ソフトSS概算見積_03062１営業修正_ソフトSS概算見_JITEC見積_03.9.28" xfId="1371" xr:uid="{00000000-0005-0000-0000-000078050000}"/>
    <cellStyle name="見積桁区切り_基本設計_ソフトSS概算見積_03062１営業修正_ソフトSS概算見_開発見積" xfId="1372" xr:uid="{00000000-0005-0000-0000-000079050000}"/>
    <cellStyle name="見積-桁区切り_基本設計_ソフトSS概算見積_03062１営業修正_ソフトSS概算見_開発見積" xfId="1373" xr:uid="{00000000-0005-0000-0000-00007A050000}"/>
    <cellStyle name="見積桁区切り_基本設計_ソフトSS概算見積_03062１営業修正_開発見積" xfId="1374" xr:uid="{00000000-0005-0000-0000-00007B050000}"/>
    <cellStyle name="見積-桁区切り_基本設計_ソフトSS概算見積_03062１営業修正_開発見積" xfId="1375" xr:uid="{00000000-0005-0000-0000-00007C050000}"/>
    <cellStyle name="見積桁区切り_基本設計_ソフトSS概算見積_030627" xfId="1376" xr:uid="{00000000-0005-0000-0000-00007D050000}"/>
    <cellStyle name="見積-桁区切り_基本設計_ソフトSS概算見積_030627" xfId="1377" xr:uid="{00000000-0005-0000-0000-00007E050000}"/>
    <cellStyle name="見積桁区切り_基本設計_開発見積" xfId="1378" xr:uid="{00000000-0005-0000-0000-00007F050000}"/>
    <cellStyle name="見積-桁区切り_基本設計_開発見積" xfId="1379" xr:uid="{00000000-0005-0000-0000-000080050000}"/>
    <cellStyle name="見積桁区切り_基本設計_自治体向けｻｲﾄ構築機能整理表_Ver2" xfId="1380" xr:uid="{00000000-0005-0000-0000-000081050000}"/>
    <cellStyle name="見積-桁区切り_基本設計_自治体向けｻｲﾄ構築機能整理表_Ver2" xfId="1381" xr:uid="{00000000-0005-0000-0000-000082050000}"/>
    <cellStyle name="見積桁区切り_機器構成10_2" xfId="1382" xr:uid="{00000000-0005-0000-0000-000083050000}"/>
    <cellStyle name="見積-桁区切り_機器構成10_2" xfId="1383" xr:uid="{00000000-0005-0000-0000-000084050000}"/>
    <cellStyle name="見積桁区切り_機器構成10_2_寄健康２" xfId="1384" xr:uid="{00000000-0005-0000-0000-000085050000}"/>
    <cellStyle name="見積-桁区切り_機器構成10_2_寄健康２" xfId="1385" xr:uid="{00000000-0005-0000-0000-000086050000}"/>
    <cellStyle name="見積桁区切り_機器構成10_2_行田健康" xfId="1386" xr:uid="{00000000-0005-0000-0000-000087050000}"/>
    <cellStyle name="見積-桁区切り_機器構成10_2_行田健康" xfId="1387" xr:uid="{00000000-0005-0000-0000-000088050000}"/>
    <cellStyle name="見積桁区切り_機器構成10_2_行田健康4" xfId="1388" xr:uid="{00000000-0005-0000-0000-000089050000}"/>
    <cellStyle name="見積-桁区切り_機器構成10_2_行田健康4" xfId="1389" xr:uid="{00000000-0005-0000-0000-00008A050000}"/>
    <cellStyle name="見積桁区切り_機器構成10_2_年度別見積" xfId="1390" xr:uid="{00000000-0005-0000-0000-00008B050000}"/>
    <cellStyle name="見積-桁区切り_機器構成10_2_年度別見積" xfId="1391" xr:uid="{00000000-0005-0000-0000-00008C050000}"/>
    <cellStyle name="見積桁区切り_機器構成10_2_年度別見積 (2)" xfId="1392" xr:uid="{00000000-0005-0000-0000-00008D050000}"/>
    <cellStyle name="見積-桁区切り_機器構成10_2_年度別見積 (2)" xfId="1393" xr:uid="{00000000-0005-0000-0000-00008E050000}"/>
    <cellStyle name="見積桁区切り_見積り10_2 (2)" xfId="1394" xr:uid="{00000000-0005-0000-0000-00008F050000}"/>
    <cellStyle name="見積-桁区切り_見積り10_2 (2)" xfId="1395" xr:uid="{00000000-0005-0000-0000-000090050000}"/>
    <cellStyle name="見積桁区切り_見積り10_2 (2)_寄健康２" xfId="1396" xr:uid="{00000000-0005-0000-0000-000091050000}"/>
    <cellStyle name="見積-桁区切り_見積り10_2 (2)_寄健康２" xfId="1397" xr:uid="{00000000-0005-0000-0000-000092050000}"/>
    <cellStyle name="見積桁区切り_見積り10_2 (2)_行田健康" xfId="1398" xr:uid="{00000000-0005-0000-0000-000093050000}"/>
    <cellStyle name="見積-桁区切り_見積り10_2 (2)_行田健康" xfId="1399" xr:uid="{00000000-0005-0000-0000-000094050000}"/>
    <cellStyle name="見積桁区切り_見積り10_2 (2)_行田健康4" xfId="1400" xr:uid="{00000000-0005-0000-0000-000095050000}"/>
    <cellStyle name="見積-桁区切り_見積り10_2 (2)_行田健康4" xfId="1401" xr:uid="{00000000-0005-0000-0000-000096050000}"/>
    <cellStyle name="見積桁区切り_見積り10_2 (2)_年度別見積" xfId="1402" xr:uid="{00000000-0005-0000-0000-000097050000}"/>
    <cellStyle name="見積-桁区切り_見積り10_2 (2)_年度別見積" xfId="1403" xr:uid="{00000000-0005-0000-0000-000098050000}"/>
    <cellStyle name="見積桁区切り_見積り10_2 (2)_年度別見積 (2)" xfId="1404" xr:uid="{00000000-0005-0000-0000-000099050000}"/>
    <cellStyle name="見積-桁区切り_見積り10_2 (2)_年度別見積 (2)" xfId="1405" xr:uid="{00000000-0005-0000-0000-00009A050000}"/>
    <cellStyle name="見積桁区切り_原価計画書(R-T社開発)" xfId="1406" xr:uid="{00000000-0005-0000-0000-00009B050000}"/>
    <cellStyle name="見積-桁区切り_原価計画書(R-T社開発)" xfId="1407" xr:uid="{00000000-0005-0000-0000-00009C050000}"/>
    <cellStyle name="見積桁区切り_原価計画書(R-T社開発)_＜3産2＞見積条件040127" xfId="1408" xr:uid="{00000000-0005-0000-0000-00009D050000}"/>
    <cellStyle name="見積-桁区切り_原価計画書(R-T社開発)_＜3産2＞見積条件040127" xfId="1409" xr:uid="{00000000-0005-0000-0000-00009E050000}"/>
    <cellStyle name="見積桁区切り_原価計画書(R-T社開発)_JITEC見積_03.10.1" xfId="1410" xr:uid="{00000000-0005-0000-0000-00009F050000}"/>
    <cellStyle name="見積-桁区切り_原価計画書(R-T社開発)_JITEC見積_03.10.1" xfId="1411" xr:uid="{00000000-0005-0000-0000-0000A0050000}"/>
    <cellStyle name="見積桁区切り_原価計画書(R-T社開発)_JITEC見積_03.10.1_工数内訳" xfId="1412" xr:uid="{00000000-0005-0000-0000-0000A1050000}"/>
    <cellStyle name="見積-桁区切り_原価計画書(R-T社開発)_JITEC見積_03.10.1_工数内訳" xfId="1413" xr:uid="{00000000-0005-0000-0000-0000A2050000}"/>
    <cellStyle name="見積桁区切り_原価計画書(R-T社開発)_JITEC見積_03.9.28" xfId="1414" xr:uid="{00000000-0005-0000-0000-0000A3050000}"/>
    <cellStyle name="見積-桁区切り_原価計画書(R-T社開発)_JITEC見積_03.9.28" xfId="1415" xr:uid="{00000000-0005-0000-0000-0000A4050000}"/>
    <cellStyle name="見積桁区切り_原価計画書(R-T社開発)_T社WRSサービス作業計画_020214" xfId="1416" xr:uid="{00000000-0005-0000-0000-0000A5050000}"/>
    <cellStyle name="見積-桁区切り_原価計画書(R-T社開発)_T社WRSサービス作業計画_020214" xfId="1417" xr:uid="{00000000-0005-0000-0000-0000A6050000}"/>
    <cellStyle name="見積桁区切り_原価計画書(R-T社開発)_T社WRSサービス作業計画_020214_＜3産2＞見積条件040127" xfId="1418" xr:uid="{00000000-0005-0000-0000-0000A7050000}"/>
    <cellStyle name="見積-桁区切り_原価計画書(R-T社開発)_T社WRSサービス作業計画_020214_＜3産2＞見積条件040127" xfId="1419" xr:uid="{00000000-0005-0000-0000-0000A8050000}"/>
    <cellStyle name="見積桁区切り_原価計画書(R-T社開発)_T社WRSサービス作業計画_020214_JITEC見積_03.10.1" xfId="1420" xr:uid="{00000000-0005-0000-0000-0000A9050000}"/>
    <cellStyle name="見積-桁区切り_原価計画書(R-T社開発)_T社WRSサービス作業計画_020214_JITEC見積_03.10.1" xfId="1421" xr:uid="{00000000-0005-0000-0000-0000AA050000}"/>
    <cellStyle name="見積桁区切り_原価計画書(R-T社開発)_T社WRSサービス作業計画_020214_JITEC見積_03.10.1_工数内訳" xfId="1422" xr:uid="{00000000-0005-0000-0000-0000AB050000}"/>
    <cellStyle name="見積-桁区切り_原価計画書(R-T社開発)_T社WRSサービス作業計画_020214_JITEC見積_03.10.1_工数内訳" xfId="1423" xr:uid="{00000000-0005-0000-0000-0000AC050000}"/>
    <cellStyle name="見積桁区切り_原価計画書(R-T社開発)_T社WRSサービス作業計画_020214_JITEC見積_03.9.28" xfId="1424" xr:uid="{00000000-0005-0000-0000-0000AD050000}"/>
    <cellStyle name="見積-桁区切り_原価計画書(R-T社開発)_T社WRSサービス作業計画_020214_JITEC見積_03.9.28" xfId="1425" xr:uid="{00000000-0005-0000-0000-0000AE050000}"/>
    <cellStyle name="見積桁区切り_原価計画書(R-T社開発)_T社WRSサービス作業計画_020214_WRS新卒全体ｽｹｼﾞｭｰﾙ" xfId="1426" xr:uid="{00000000-0005-0000-0000-0000AF050000}"/>
    <cellStyle name="見積-桁区切り_原価計画書(R-T社開発)_T社WRSサービス作業計画_020214_WRS新卒全体ｽｹｼﾞｭｰﾙ" xfId="1427" xr:uid="{00000000-0005-0000-0000-0000B0050000}"/>
    <cellStyle name="見積桁区切り_原価計画書(R-T社開発)_T社WRSサービス作業計画_020214_WRS新卒全体ｽｹｼﾞｭｰﾙ_＜3産2＞見積条件040127" xfId="1428" xr:uid="{00000000-0005-0000-0000-0000B1050000}"/>
    <cellStyle name="見積-桁区切り_原価計画書(R-T社開発)_T社WRSサービス作業計画_020214_WRS新卒全体ｽｹｼﾞｭｰﾙ_＜3産2＞見積条件040127" xfId="1429" xr:uid="{00000000-0005-0000-0000-0000B2050000}"/>
    <cellStyle name="見積桁区切り_原価計画書(R-T社開発)_T社WRSサービス作業計画_020214_WRS新卒全体ｽｹｼﾞｭｰﾙ_JITEC見積_03.10.1" xfId="1430" xr:uid="{00000000-0005-0000-0000-0000B3050000}"/>
    <cellStyle name="見積-桁区切り_原価計画書(R-T社開発)_T社WRSサービス作業計画_020214_WRS新卒全体ｽｹｼﾞｭｰﾙ_JITEC見積_03.10.1" xfId="1431" xr:uid="{00000000-0005-0000-0000-0000B4050000}"/>
    <cellStyle name="見積桁区切り_原価計画書(R-T社開発)_T社WRSサービス作業計画_020214_WRS新卒全体ｽｹｼﾞｭｰﾙ_JITEC見積_03.10.1_工数内訳" xfId="1432" xr:uid="{00000000-0005-0000-0000-0000B5050000}"/>
    <cellStyle name="見積-桁区切り_原価計画書(R-T社開発)_T社WRSサービス作業計画_020214_WRS新卒全体ｽｹｼﾞｭｰﾙ_JITEC見積_03.10.1_工数内訳" xfId="1433" xr:uid="{00000000-0005-0000-0000-0000B6050000}"/>
    <cellStyle name="見積桁区切り_原価計画書(R-T社開発)_T社WRSサービス作業計画_020214_WRS新卒全体ｽｹｼﾞｭｰﾙ_JITEC見積_03.9.28" xfId="1434" xr:uid="{00000000-0005-0000-0000-0000B7050000}"/>
    <cellStyle name="見積-桁区切り_原価計画書(R-T社開発)_T社WRSサービス作業計画_020214_WRS新卒全体ｽｹｼﾞｭｰﾙ_JITEC見積_03.9.28" xfId="1435" xr:uid="{00000000-0005-0000-0000-0000B8050000}"/>
    <cellStyle name="見積桁区切り_原価計画書(R-T社開発)_T社WRSサービス作業計画_020214_WRS新卒全体ｽｹｼﾞｭｰﾙ_WRS詳細設計書format(blue)" xfId="1436" xr:uid="{00000000-0005-0000-0000-0000B9050000}"/>
    <cellStyle name="見積-桁区切り_原価計画書(R-T社開発)_T社WRSサービス作業計画_020214_WRS新卒全体ｽｹｼﾞｭｰﾙ_WRS詳細設計書format(blue)" xfId="1437" xr:uid="{00000000-0005-0000-0000-0000BA050000}"/>
    <cellStyle name="見積桁区切り_原価計画書(R-T社開発)_T社WRSサービス作業計画_020214_WRS新卒全体ｽｹｼﾞｭｰﾙ_WRS詳細設計書format(blue)_＜3産2＞見積条件040127" xfId="1438" xr:uid="{00000000-0005-0000-0000-0000BB050000}"/>
    <cellStyle name="見積-桁区切り_原価計画書(R-T社開発)_T社WRSサービス作業計画_020214_WRS新卒全体ｽｹｼﾞｭｰﾙ_WRS詳細設計書format(blue)_＜3産2＞見積条件040127" xfId="1439" xr:uid="{00000000-0005-0000-0000-0000BC050000}"/>
    <cellStyle name="見積桁区切り_原価計画書(R-T社開発)_T社WRSサービス作業計画_020214_WRS新卒全体ｽｹｼﾞｭｰﾙ_WRS詳細設計書format(blue)_JITEC見積_03.10.1" xfId="1440" xr:uid="{00000000-0005-0000-0000-0000BD050000}"/>
    <cellStyle name="見積-桁区切り_原価計画書(R-T社開発)_T社WRSサービス作業計画_020214_WRS新卒全体ｽｹｼﾞｭｰﾙ_WRS詳細設計書format(blue)_JITEC見積_03.10.1" xfId="1441" xr:uid="{00000000-0005-0000-0000-0000BE050000}"/>
    <cellStyle name="見積桁区切り_原価計画書(R-T社開発)_T社WRSサービス作業計画_020214_WRS新卒全体ｽｹｼﾞｭｰﾙ_WRS詳細設計書format(blue)_JITEC見積_03.10.1_工数内訳" xfId="1442" xr:uid="{00000000-0005-0000-0000-0000BF050000}"/>
    <cellStyle name="見積-桁区切り_原価計画書(R-T社開発)_T社WRSサービス作業計画_020214_WRS新卒全体ｽｹｼﾞｭｰﾙ_WRS詳細設計書format(blue)_JITEC見積_03.10.1_工数内訳" xfId="1443" xr:uid="{00000000-0005-0000-0000-0000C0050000}"/>
    <cellStyle name="見積桁区切り_原価計画書(R-T社開発)_T社WRSサービス作業計画_020214_WRS新卒全体ｽｹｼﾞｭｰﾙ_WRS詳細設計書format(blue)_JITEC見積_03.9.28" xfId="1444" xr:uid="{00000000-0005-0000-0000-0000C1050000}"/>
    <cellStyle name="見積-桁区切り_原価計画書(R-T社開発)_T社WRSサービス作業計画_020214_WRS新卒全体ｽｹｼﾞｭｰﾙ_WRS詳細設計書format(blue)_JITEC見積_03.9.28" xfId="1445" xr:uid="{00000000-0005-0000-0000-0000C2050000}"/>
    <cellStyle name="見積桁区切り_原価計画書(R-T社開発)_T社WRSサービス作業計画_020214_WRS新卒全体ｽｹｼﾞｭｰﾙ_WRS詳細設計書format(blue)_ソフトSS概算見積_030620" xfId="1446" xr:uid="{00000000-0005-0000-0000-0000C3050000}"/>
    <cellStyle name="見積-桁区切り_原価計画書(R-T社開発)_T社WRSサービス作業計画_020214_WRS新卒全体ｽｹｼﾞｭｰﾙ_WRS詳細設計書format(blue)_ソフトSS概算見積_030620" xfId="1447" xr:uid="{00000000-0005-0000-0000-0000C4050000}"/>
    <cellStyle name="見積桁区切り_原価計画書(R-T社開発)_T社WRSサービス作業計画_020214_WRS新卒全体ｽｹｼﾞｭｰﾙ_WRS詳細設計書format(blue)_ソフトSS概算見積_030620_＜3産2＞見積条件040127" xfId="1448" xr:uid="{00000000-0005-0000-0000-0000C5050000}"/>
    <cellStyle name="見積-桁区切り_原価計画書(R-T社開発)_T社WRSサービス作業計画_020214_WRS新卒全体ｽｹｼﾞｭｰﾙ_WRS詳細設計書format(blue)_ソフトSS概算見積_030620_＜3産2＞見積条件040127" xfId="1449" xr:uid="{00000000-0005-0000-0000-0000C6050000}"/>
    <cellStyle name="見積桁区切り_原価計画書(R-T社開発)_T社WRSサービス作業計画_020214_WRS新卒全体ｽｹｼﾞｭｰﾙ_WRS詳細設計書format(blue)_ソフトSS概算見積_030620_1" xfId="1450" xr:uid="{00000000-0005-0000-0000-0000C7050000}"/>
    <cellStyle name="見積-桁区切り_原価計画書(R-T社開発)_T社WRSサービス作業計画_020214_WRS新卒全体ｽｹｼﾞｭｰﾙ_WRS詳細設計書format(blue)_ソフトSS概算見積_030620_1" xfId="1451" xr:uid="{00000000-0005-0000-0000-0000C8050000}"/>
    <cellStyle name="見積桁区切り_原価計画書(R-T社開発)_T社WRSサービス作業計画_020214_WRS新卒全体ｽｹｼﾞｭｰﾙ_WRS詳細設計書format(blue)_ソフトSS概算見積_030620_JITEC見積_03.10.1" xfId="1452" xr:uid="{00000000-0005-0000-0000-0000C9050000}"/>
    <cellStyle name="見積-桁区切り_原価計画書(R-T社開発)_T社WRSサービス作業計画_020214_WRS新卒全体ｽｹｼﾞｭｰﾙ_WRS詳細設計書format(blue)_ソフトSS概算見積_030620_JITEC見積_03.10.1" xfId="1453" xr:uid="{00000000-0005-0000-0000-0000CA050000}"/>
    <cellStyle name="見積桁区切り_原価計画書(R-T社開発)_T社WRSサービス作業計画_020214_WRS新卒全体ｽｹｼﾞｭｰﾙ_WRS詳細設計書format(blue)_ソフトSS概算見積_030620_JITEC見積_03.10.1_工数内訳" xfId="1454" xr:uid="{00000000-0005-0000-0000-0000CB050000}"/>
    <cellStyle name="見積-桁区切り_原価計画書(R-T社開発)_T社WRSサービス作業計画_020214_WRS新卒全体ｽｹｼﾞｭｰﾙ_WRS詳細設計書format(blue)_ソフトSS概算見積_030620_JITEC見積_03.10.1_工数内訳" xfId="1455" xr:uid="{00000000-0005-0000-0000-0000CC050000}"/>
    <cellStyle name="見積桁区切り_原価計画書(R-T社開発)_T社WRSサービス作業計画_020214_WRS新卒全体ｽｹｼﾞｭｰﾙ_WRS詳細設計書format(blue)_ソフトSS概算見積_030620_JITEC見積_03.9.28" xfId="1456" xr:uid="{00000000-0005-0000-0000-0000CD050000}"/>
    <cellStyle name="見積-桁区切り_原価計画書(R-T社開発)_T社WRSサービス作業計画_020214_WRS新卒全体ｽｹｼﾞｭｰﾙ_WRS詳細設計書format(blue)_ソフトSS概算見積_030620_JITEC見積_03.9.28" xfId="1457" xr:uid="{00000000-0005-0000-0000-0000CE050000}"/>
    <cellStyle name="見積桁区切り_原価計画書(R-T社開発)_T社WRSサービス作業計画_020214_WRS新卒全体ｽｹｼﾞｭｰﾙ_WRS詳細設計書format(blue)_ソフトSS概算見積_030620_ソフトSS概算見" xfId="1458" xr:uid="{00000000-0005-0000-0000-0000CF050000}"/>
    <cellStyle name="見積-桁区切り_原価計画書(R-T社開発)_T社WRSサービス作業計画_020214_WRS新卒全体ｽｹｼﾞｭｰﾙ_WRS詳細設計書format(blue)_ソフトSS概算見積_030620_ソフトSS概算見" xfId="1459" xr:uid="{00000000-0005-0000-0000-0000D0050000}"/>
    <cellStyle name="見積桁区切り_原価計画書(R-T社開発)_T社WRSサービス作業計画_020214_WRS新卒全体ｽｹｼﾞｭｰﾙ_WRS詳細設計書format(blue)_ソフトSS概算見積_030620_ソフトSS概算見_＜3産2＞見積条件040127" xfId="1460" xr:uid="{00000000-0005-0000-0000-0000D1050000}"/>
    <cellStyle name="見積-桁区切り_原価計画書(R-T社開発)_T社WRSサービス作業計画_020214_WRS新卒全体ｽｹｼﾞｭｰﾙ_WRS詳細設計書format(blue)_ソフトSS概算見積_030620_ソフトSS概算見_＜3産2＞見積条件040127" xfId="1461" xr:uid="{00000000-0005-0000-0000-0000D2050000}"/>
    <cellStyle name="見積桁区切り_原価計画書(R-T社開発)_T社WRSサービス作業計画_020214_WRS新卒全体ｽｹｼﾞｭｰﾙ_WRS詳細設計書format(blue)_ソフトSS概算見積_030620_ソフトSS概算見_JITEC見積_03.10.1" xfId="1462" xr:uid="{00000000-0005-0000-0000-0000D3050000}"/>
    <cellStyle name="見積-桁区切り_原価計画書(R-T社開発)_T社WRSサービス作業計画_020214_WRS新卒全体ｽｹｼﾞｭｰﾙ_WRS詳細設計書format(blue)_ソフトSS概算見積_030620_ソフトSS概算見_JITEC見積_03.10.1" xfId="1463" xr:uid="{00000000-0005-0000-0000-0000D4050000}"/>
    <cellStyle name="見積桁区切り_原価計画書(R-T社開発)_T社WRSサービス作業計画_020214_WRS新卒全体ｽｹｼﾞｭｰﾙ_WRS詳細設計書format(blue)_ソフトSS概算見積_030620_ソフトSS概算見_JITEC見積_03.10.1_工数内訳" xfId="1464" xr:uid="{00000000-0005-0000-0000-0000D5050000}"/>
    <cellStyle name="見積-桁区切り_原価計画書(R-T社開発)_T社WRSサービス作業計画_020214_WRS新卒全体ｽｹｼﾞｭｰﾙ_WRS詳細設計書format(blue)_ソフトSS概算見積_030620_ソフトSS概算見_JITEC見積_03.10.1_工数内訳" xfId="1465" xr:uid="{00000000-0005-0000-0000-0000D6050000}"/>
    <cellStyle name="見積桁区切り_原価計画書(R-T社開発)_T社WRSサービス作業計画_020214_WRS新卒全体ｽｹｼﾞｭｰﾙ_WRS詳細設計書format(blue)_ソフトSS概算見積_030620_ソフトSS概算見_JITEC見積_03.9.28" xfId="1466" xr:uid="{00000000-0005-0000-0000-0000D7050000}"/>
    <cellStyle name="見積-桁区切り_原価計画書(R-T社開発)_T社WRSサービス作業計画_020214_WRS新卒全体ｽｹｼﾞｭｰﾙ_WRS詳細設計書format(blue)_ソフトSS概算見積_030620_ソフトSS概算見_JITEC見積_03.9.28" xfId="1467" xr:uid="{00000000-0005-0000-0000-0000D8050000}"/>
    <cellStyle name="見積桁区切り_原価計画書(R-T社開発)_T社WRSサービス作業計画_020214_WRS新卒全体ｽｹｼﾞｭｰﾙ_WRS詳細設計書format(blue)_ソフトSS概算見積_030620_ソフトSS概算見_開発見積" xfId="1468" xr:uid="{00000000-0005-0000-0000-0000D9050000}"/>
    <cellStyle name="見積-桁区切り_原価計画書(R-T社開発)_T社WRSサービス作業計画_020214_WRS新卒全体ｽｹｼﾞｭｰﾙ_WRS詳細設計書format(blue)_ソフトSS概算見積_030620_ソフトSS概算見_開発見積" xfId="1469" xr:uid="{00000000-0005-0000-0000-0000DA050000}"/>
    <cellStyle name="見積桁区切り_原価計画書(R-T社開発)_T社WRSサービス作業計画_020214_WRS新卒全体ｽｹｼﾞｭｰﾙ_WRS詳細設計書format(blue)_ソフトSS概算見積_030620_ソフトSS概算見積_030620" xfId="1470" xr:uid="{00000000-0005-0000-0000-0000DB050000}"/>
    <cellStyle name="見積-桁区切り_原価計画書(R-T社開発)_T社WRSサービス作業計画_020214_WRS新卒全体ｽｹｼﾞｭｰﾙ_WRS詳細設計書format(blue)_ソフトSS概算見積_030620_ソフトSS概算見積_030620" xfId="1471" xr:uid="{00000000-0005-0000-0000-0000DC050000}"/>
    <cellStyle name="見積桁区切り_原価計画書(R-T社開発)_T社WRSサービス作業計画_020214_WRS新卒全体ｽｹｼﾞｭｰﾙ_WRS詳細設計書format(blue)_ソフトSS概算見積_030620_ソフトSS概算見積_030627" xfId="1472" xr:uid="{00000000-0005-0000-0000-0000DD050000}"/>
    <cellStyle name="見積-桁区切り_原価計画書(R-T社開発)_T社WRSサービス作業計画_020214_WRS新卒全体ｽｹｼﾞｭｰﾙ_WRS詳細設計書format(blue)_ソフトSS概算見積_030620_ソフトSS概算見積_030627" xfId="1473" xr:uid="{00000000-0005-0000-0000-0000DE050000}"/>
    <cellStyle name="見積桁区切り_原価計画書(R-T社開発)_T社WRSサービス作業計画_020214_WRS新卒全体ｽｹｼﾞｭｰﾙ_WRS詳細設計書format(blue)_ソフトSS概算見積_030620_ソフトSS概算見積_030627_＜3産2＞見積条件040127" xfId="1474" xr:uid="{00000000-0005-0000-0000-0000DF050000}"/>
    <cellStyle name="見積-桁区切り_原価計画書(R-T社開発)_T社WRSサービス作業計画_020214_WRS新卒全体ｽｹｼﾞｭｰﾙ_WRS詳細設計書format(blue)_ソフトSS概算見積_030620_ソフトSS概算見積_030627_＜3産2＞見積条件040127" xfId="1475" xr:uid="{00000000-0005-0000-0000-0000E0050000}"/>
    <cellStyle name="見積桁区切り_原価計画書(R-T社開発)_T社WRSサービス作業計画_020214_WRS新卒全体ｽｹｼﾞｭｰﾙ_WRS詳細設計書format(blue)_ソフトSS概算見積_030620_ソフトSS概算見積_030627_1" xfId="1476" xr:uid="{00000000-0005-0000-0000-0000E1050000}"/>
    <cellStyle name="見積-桁区切り_原価計画書(R-T社開発)_T社WRSサービス作業計画_020214_WRS新卒全体ｽｹｼﾞｭｰﾙ_WRS詳細設計書format(blue)_ソフトSS概算見積_030620_ソフトSS概算見積_030627_1" xfId="1477" xr:uid="{00000000-0005-0000-0000-0000E2050000}"/>
    <cellStyle name="見積桁区切り_原価計画書(R-T社開発)_T社WRSサービス作業計画_020214_WRS新卒全体ｽｹｼﾞｭｰﾙ_WRS詳細設計書format(blue)_ソフトSS概算見積_030620_ソフトSS概算見積_030627_JITEC見積_03.10.1" xfId="1478" xr:uid="{00000000-0005-0000-0000-0000E3050000}"/>
    <cellStyle name="見積-桁区切り_原価計画書(R-T社開発)_T社WRSサービス作業計画_020214_WRS新卒全体ｽｹｼﾞｭｰﾙ_WRS詳細設計書format(blue)_ソフトSS概算見積_030620_ソフトSS概算見積_030627_JITEC見積_03.10.1" xfId="1479" xr:uid="{00000000-0005-0000-0000-0000E4050000}"/>
    <cellStyle name="見積桁区切り_原価計画書(R-T社開発)_T社WRSサービス作業計画_020214_WRS新卒全体ｽｹｼﾞｭｰﾙ_WRS詳細設計書format(blue)_ソフトSS概算見積_030620_ソフトSS概算見積_030627_JITEC見積_03.10.1_工数内訳" xfId="1480" xr:uid="{00000000-0005-0000-0000-0000E5050000}"/>
    <cellStyle name="見積-桁区切り_原価計画書(R-T社開発)_T社WRSサービス作業計画_020214_WRS新卒全体ｽｹｼﾞｭｰﾙ_WRS詳細設計書format(blue)_ソフトSS概算見積_030620_ソフトSS概算見積_030627_JITEC見積_03.10.1_工数内訳" xfId="1481" xr:uid="{00000000-0005-0000-0000-0000E6050000}"/>
    <cellStyle name="見積桁区切り_原価計画書(R-T社開発)_T社WRSサービス作業計画_020214_WRS新卒全体ｽｹｼﾞｭｰﾙ_WRS詳細設計書format(blue)_ソフトSS概算見積_030620_ソフトSS概算見積_030627_JITEC見積_03.9.28" xfId="1482" xr:uid="{00000000-0005-0000-0000-0000E7050000}"/>
    <cellStyle name="見積-桁区切り_原価計画書(R-T社開発)_T社WRSサービス作業計画_020214_WRS新卒全体ｽｹｼﾞｭｰﾙ_WRS詳細設計書format(blue)_ソフトSS概算見積_030620_ソフトSS概算見積_030627_JITEC見積_03.9.28" xfId="1483" xr:uid="{00000000-0005-0000-0000-0000E8050000}"/>
    <cellStyle name="見積桁区切り_原価計画書(R-T社開発)_T社WRSサービス作業計画_020214_WRS新卒全体ｽｹｼﾞｭｰﾙ_WRS詳細設計書format(blue)_ソフトSS概算見積_030620_ソフトSS概算見積_030627_ソフトSS概算見積_030627" xfId="1484" xr:uid="{00000000-0005-0000-0000-0000E9050000}"/>
    <cellStyle name="見積-桁区切り_原価計画書(R-T社開発)_T社WRSサービス作業計画_020214_WRS新卒全体ｽｹｼﾞｭｰﾙ_WRS詳細設計書format(blue)_ソフトSS概算見積_030620_ソフトSS概算見積_030627_ソフトSS概算見積_030627" xfId="1485" xr:uid="{00000000-0005-0000-0000-0000EA050000}"/>
    <cellStyle name="見積桁区切り_原価計画書(R-T社開発)_T社WRSサービス作業計画_020214_WRS新卒全体ｽｹｼﾞｭｰﾙ_WRS詳細設計書format(blue)_ソフトSS概算見積_030620_ソフトSS概算見積_030627_開発見積" xfId="1486" xr:uid="{00000000-0005-0000-0000-0000EB050000}"/>
    <cellStyle name="見積-桁区切り_原価計画書(R-T社開発)_T社WRSサービス作業計画_020214_WRS新卒全体ｽｹｼﾞｭｰﾙ_WRS詳細設計書format(blue)_ソフトSS概算見積_030620_ソフトSS概算見積_030627_開発見積" xfId="1487" xr:uid="{00000000-0005-0000-0000-0000EC050000}"/>
    <cellStyle name="見積桁区切り_原価計画書(R-T社開発)_T社WRSサービス作業計画_020214_WRS新卒全体ｽｹｼﾞｭｰﾙ_WRS詳細設計書format(blue)_ソフトSS概算見積_030620_開発見積" xfId="1488" xr:uid="{00000000-0005-0000-0000-0000ED050000}"/>
    <cellStyle name="見積-桁区切り_原価計画書(R-T社開発)_T社WRSサービス作業計画_020214_WRS新卒全体ｽｹｼﾞｭｰﾙ_WRS詳細設計書format(blue)_ソフトSS概算見積_030620_開発見積" xfId="1489" xr:uid="{00000000-0005-0000-0000-0000EE050000}"/>
    <cellStyle name="見積桁区切り_原価計画書(R-T社開発)_T社WRSサービス作業計画_020214_WRS新卒全体ｽｹｼﾞｭｰﾙ_WRS詳細設計書format(blue)_ソフトSS概算見積_03062１営業修正" xfId="1490" xr:uid="{00000000-0005-0000-0000-0000EF050000}"/>
    <cellStyle name="見積-桁区切り_原価計画書(R-T社開発)_T社WRSサービス作業計画_020214_WRS新卒全体ｽｹｼﾞｭｰﾙ_WRS詳細設計書format(blue)_ソフトSS概算見積_03062１営業修正" xfId="1491" xr:uid="{00000000-0005-0000-0000-0000F0050000}"/>
    <cellStyle name="見積桁区切り_原価計画書(R-T社開発)_T社WRSサービス作業計画_020214_WRS新卒全体ｽｹｼﾞｭｰﾙ_WRS詳細設計書format(blue)_ソフトSS概算見積_03062１営業修正_＜3産2＞見積条件040127" xfId="1492" xr:uid="{00000000-0005-0000-0000-0000F1050000}"/>
    <cellStyle name="見積-桁区切り_原価計画書(R-T社開発)_T社WRSサービス作業計画_020214_WRS新卒全体ｽｹｼﾞｭｰﾙ_WRS詳細設計書format(blue)_ソフトSS概算見積_03062１営業修正_＜3産2＞見積条件040127" xfId="1493" xr:uid="{00000000-0005-0000-0000-0000F2050000}"/>
    <cellStyle name="見積桁区切り_原価計画書(R-T社開発)_T社WRSサービス作業計画_020214_WRS新卒全体ｽｹｼﾞｭｰﾙ_WRS詳細設計書format(blue)_ソフトSS概算見積_03062１営業修正_JITEC見積_03.10.1" xfId="1494" xr:uid="{00000000-0005-0000-0000-0000F3050000}"/>
    <cellStyle name="見積-桁区切り_原価計画書(R-T社開発)_T社WRSサービス作業計画_020214_WRS新卒全体ｽｹｼﾞｭｰﾙ_WRS詳細設計書format(blue)_ソフトSS概算見積_03062１営業修正_JITEC見積_03.10.1" xfId="1495" xr:uid="{00000000-0005-0000-0000-0000F4050000}"/>
    <cellStyle name="見積桁区切り_原価計画書(R-T社開発)_T社WRSサービス作業計画_020214_WRS新卒全体ｽｹｼﾞｭｰﾙ_WRS詳細設計書format(blue)_ソフトSS概算見積_03062１営業修正_JITEC見積_03.10.1_工数内訳" xfId="1496" xr:uid="{00000000-0005-0000-0000-0000F5050000}"/>
    <cellStyle name="見積-桁区切り_原価計画書(R-T社開発)_T社WRSサービス作業計画_020214_WRS新卒全体ｽｹｼﾞｭｰﾙ_WRS詳細設計書format(blue)_ソフトSS概算見積_03062１営業修正_JITEC見積_03.10.1_工数内訳" xfId="1497" xr:uid="{00000000-0005-0000-0000-0000F6050000}"/>
    <cellStyle name="見積桁区切り_原価計画書(R-T社開発)_T社WRSサービス作業計画_020214_WRS新卒全体ｽｹｼﾞｭｰﾙ_WRS詳細設計書format(blue)_ソフトSS概算見積_03062１営業修正_JITEC見積_03.9.28" xfId="1498" xr:uid="{00000000-0005-0000-0000-0000F7050000}"/>
    <cellStyle name="見積-桁区切り_原価計画書(R-T社開発)_T社WRSサービス作業計画_020214_WRS新卒全体ｽｹｼﾞｭｰﾙ_WRS詳細設計書format(blue)_ソフトSS概算見積_03062１営業修正_JITEC見積_03.9.28" xfId="1499" xr:uid="{00000000-0005-0000-0000-0000F8050000}"/>
    <cellStyle name="見積桁区切り_原価計画書(R-T社開発)_T社WRSサービス作業計画_020214_WRS新卒全体ｽｹｼﾞｭｰﾙ_WRS詳細設計書format(blue)_ソフトSS概算見積_03062１営業修正_ソフトSS概算見" xfId="1500" xr:uid="{00000000-0005-0000-0000-0000F9050000}"/>
    <cellStyle name="見積-桁区切り_原価計画書(R-T社開発)_T社WRSサービス作業計画_020214_WRS新卒全体ｽｹｼﾞｭｰﾙ_WRS詳細設計書format(blue)_ソフトSS概算見積_03062１営業修正_ソフトSS概算見" xfId="1501" xr:uid="{00000000-0005-0000-0000-0000FA050000}"/>
    <cellStyle name="見積桁区切り_原価計画書(R-T社開発)_T社WRSサービス作業計画_020214_WRS新卒全体ｽｹｼﾞｭｰﾙ_WRS詳細設計書format(blue)_ソフトSS概算見積_03062１営業修正_ソフトSS概算見_＜3産2＞見積条件040127" xfId="1502" xr:uid="{00000000-0005-0000-0000-0000FB050000}"/>
    <cellStyle name="見積-桁区切り_原価計画書(R-T社開発)_T社WRSサービス作業計画_020214_WRS新卒全体ｽｹｼﾞｭｰﾙ_WRS詳細設計書format(blue)_ソフトSS概算見積_03062１営業修正_ソフトSS概算見_＜3産2＞見積条件040127" xfId="1503" xr:uid="{00000000-0005-0000-0000-0000FC050000}"/>
    <cellStyle name="見積桁区切り_原価計画書(R-T社開発)_T社WRSサービス作業計画_020214_WRS新卒全体ｽｹｼﾞｭｰﾙ_WRS詳細設計書format(blue)_ソフトSS概算見積_03062１営業修正_ソフトSS概算見_JITEC見積_03.10.1" xfId="1504" xr:uid="{00000000-0005-0000-0000-0000FD050000}"/>
    <cellStyle name="見積-桁区切り_原価計画書(R-T社開発)_T社WRSサービス作業計画_020214_WRS新卒全体ｽｹｼﾞｭｰﾙ_WRS詳細設計書format(blue)_ソフトSS概算見積_03062１営業修正_ソフトSS概算見_JITEC見積_03.10.1" xfId="1505" xr:uid="{00000000-0005-0000-0000-0000FE050000}"/>
    <cellStyle name="見積桁区切り_原価計画書(R-T社開発)_T社WRSサービス作業計画_020214_WRS新卒全体ｽｹｼﾞｭｰﾙ_WRS詳細設計書format(blue)_ソフトSS概算見積_03062１営業修正_ソフトSS概算見_JITEC見積_03.10.1_工数内訳" xfId="1506" xr:uid="{00000000-0005-0000-0000-0000FF050000}"/>
    <cellStyle name="見積-桁区切り_原価計画書(R-T社開発)_T社WRSサービス作業計画_020214_WRS新卒全体ｽｹｼﾞｭｰﾙ_WRS詳細設計書format(blue)_ソフトSS概算見積_03062１営業修正_ソフトSS概算見_JITEC見積_03.10.1_工数内訳" xfId="1507" xr:uid="{00000000-0005-0000-0000-000000060000}"/>
    <cellStyle name="見積桁区切り_原価計画書(R-T社開発)_T社WRSサービス作業計画_020214_WRS新卒全体ｽｹｼﾞｭｰﾙ_WRS詳細設計書format(blue)_ソフトSS概算見積_03062１営業修正_ソフトSS概算見_JITEC見積_03.9.28" xfId="1508" xr:uid="{00000000-0005-0000-0000-000001060000}"/>
    <cellStyle name="見積-桁区切り_原価計画書(R-T社開発)_T社WRSサービス作業計画_020214_WRS新卒全体ｽｹｼﾞｭｰﾙ_WRS詳細設計書format(blue)_ソフトSS概算見積_03062１営業修正_ソフトSS概算見_JITEC見積_03.9.28" xfId="1509" xr:uid="{00000000-0005-0000-0000-000002060000}"/>
    <cellStyle name="見積桁区切り_原価計画書(R-T社開発)_T社WRSサービス作業計画_020214_WRS新卒全体ｽｹｼﾞｭｰﾙ_WRS詳細設計書format(blue)_ソフトSS概算見積_03062１営業修正_ソフトSS概算見_開発見積" xfId="1510" xr:uid="{00000000-0005-0000-0000-000003060000}"/>
    <cellStyle name="見積-桁区切り_原価計画書(R-T社開発)_T社WRSサービス作業計画_020214_WRS新卒全体ｽｹｼﾞｭｰﾙ_WRS詳細設計書format(blue)_ソフトSS概算見積_03062１営業修正_ソフトSS概算見_開発見積" xfId="1511" xr:uid="{00000000-0005-0000-0000-000004060000}"/>
    <cellStyle name="見積桁区切り_原価計画書(R-T社開発)_T社WRSサービス作業計画_020214_WRS新卒全体ｽｹｼﾞｭｰﾙ_WRS詳細設計書format(blue)_ソフトSS概算見積_03062１営業修正_開発見積" xfId="1512" xr:uid="{00000000-0005-0000-0000-000005060000}"/>
    <cellStyle name="見積-桁区切り_原価計画書(R-T社開発)_T社WRSサービス作業計画_020214_WRS新卒全体ｽｹｼﾞｭｰﾙ_WRS詳細設計書format(blue)_ソフトSS概算見積_03062１営業修正_開発見積" xfId="1513" xr:uid="{00000000-0005-0000-0000-000006060000}"/>
    <cellStyle name="見積桁区切り_原価計画書(R-T社開発)_T社WRSサービス作業計画_020214_WRS新卒全体ｽｹｼﾞｭｰﾙ_WRS詳細設計書format(blue)_ソフトSS概算見積_030627" xfId="1514" xr:uid="{00000000-0005-0000-0000-000007060000}"/>
    <cellStyle name="見積-桁区切り_原価計画書(R-T社開発)_T社WRSサービス作業計画_020214_WRS新卒全体ｽｹｼﾞｭｰﾙ_WRS詳細設計書format(blue)_ソフトSS概算見積_030627" xfId="1515" xr:uid="{00000000-0005-0000-0000-000008060000}"/>
    <cellStyle name="見積桁区切り_原価計画書(R-T社開発)_T社WRSサービス作業計画_020214_WRS新卒全体ｽｹｼﾞｭｰﾙ_WRS詳細設計書format(blue)_開発見積" xfId="1516" xr:uid="{00000000-0005-0000-0000-000009060000}"/>
    <cellStyle name="見積-桁区切り_原価計画書(R-T社開発)_T社WRSサービス作業計画_020214_WRS新卒全体ｽｹｼﾞｭｰﾙ_WRS詳細設計書format(blue)_開発見積" xfId="1517" xr:uid="{00000000-0005-0000-0000-00000A060000}"/>
    <cellStyle name="見積桁区切り_原価計画書(R-T社開発)_T社WRSサービス作業計画_020214_WRS新卒全体ｽｹｼﾞｭｰﾙ_WRS詳細設計書format(blue)_自治体向けｻｲﾄ構築機能整理表_Ver2" xfId="1518" xr:uid="{00000000-0005-0000-0000-00000B060000}"/>
    <cellStyle name="見積-桁区切り_原価計画書(R-T社開発)_T社WRSサービス作業計画_020214_WRS新卒全体ｽｹｼﾞｭｰﾙ_WRS詳細設計書format(blue)_自治体向けｻｲﾄ構築機能整理表_Ver2" xfId="1519" xr:uid="{00000000-0005-0000-0000-00000C060000}"/>
    <cellStyle name="見積桁区切り_原価計画書(R-T社開発)_T社WRSサービス作業計画_020214_WRS新卒全体ｽｹｼﾞｭｰﾙ_WRS新卒全体ｽｹｼﾞｭｰﾙ" xfId="1520" xr:uid="{00000000-0005-0000-0000-00000D060000}"/>
    <cellStyle name="見積-桁区切り_原価計画書(R-T社開発)_T社WRSサービス作業計画_020214_WRS新卒全体ｽｹｼﾞｭｰﾙ_WRS新卒全体ｽｹｼﾞｭｰﾙ" xfId="1521" xr:uid="{00000000-0005-0000-0000-00000E060000}"/>
    <cellStyle name="見積桁区切り_原価計画書(R-T社開発)_T社WRSサービス作業計画_020214_WRS新卒全体ｽｹｼﾞｭｰﾙ_WRS新卒全体ｽｹｼﾞｭｰﾙ_＜3産2＞見積条件040127" xfId="1522" xr:uid="{00000000-0005-0000-0000-00000F060000}"/>
    <cellStyle name="見積-桁区切り_原価計画書(R-T社開発)_T社WRSサービス作業計画_020214_WRS新卒全体ｽｹｼﾞｭｰﾙ_WRS新卒全体ｽｹｼﾞｭｰﾙ_＜3産2＞見積条件040127" xfId="1523" xr:uid="{00000000-0005-0000-0000-000010060000}"/>
    <cellStyle name="見積桁区切り_原価計画書(R-T社開発)_T社WRSサービス作業計画_020214_WRS新卒全体ｽｹｼﾞｭｰﾙ_WRS新卒全体ｽｹｼﾞｭｰﾙ_JITEC見積_03.10.1" xfId="1524" xr:uid="{00000000-0005-0000-0000-000011060000}"/>
    <cellStyle name="見積-桁区切り_原価計画書(R-T社開発)_T社WRSサービス作業計画_020214_WRS新卒全体ｽｹｼﾞｭｰﾙ_WRS新卒全体ｽｹｼﾞｭｰﾙ_JITEC見積_03.10.1" xfId="1525" xr:uid="{00000000-0005-0000-0000-000012060000}"/>
    <cellStyle name="見積桁区切り_原価計画書(R-T社開発)_T社WRSサービス作業計画_020214_WRS新卒全体ｽｹｼﾞｭｰﾙ_WRS新卒全体ｽｹｼﾞｭｰﾙ_JITEC見積_03.10.1_工数内訳" xfId="1526" xr:uid="{00000000-0005-0000-0000-000013060000}"/>
    <cellStyle name="見積-桁区切り_原価計画書(R-T社開発)_T社WRSサービス作業計画_020214_WRS新卒全体ｽｹｼﾞｭｰﾙ_WRS新卒全体ｽｹｼﾞｭｰﾙ_JITEC見積_03.10.1_工数内訳" xfId="1527" xr:uid="{00000000-0005-0000-0000-000014060000}"/>
    <cellStyle name="見積桁区切り_原価計画書(R-T社開発)_T社WRSサービス作業計画_020214_WRS新卒全体ｽｹｼﾞｭｰﾙ_WRS新卒全体ｽｹｼﾞｭｰﾙ_JITEC見積_03.9.28" xfId="1528" xr:uid="{00000000-0005-0000-0000-000015060000}"/>
    <cellStyle name="見積-桁区切り_原価計画書(R-T社開発)_T社WRSサービス作業計画_020214_WRS新卒全体ｽｹｼﾞｭｰﾙ_WRS新卒全体ｽｹｼﾞｭｰﾙ_JITEC見積_03.9.28" xfId="1529" xr:uid="{00000000-0005-0000-0000-000016060000}"/>
    <cellStyle name="見積桁区切り_原価計画書(R-T社開発)_T社WRSサービス作業計画_020214_WRS新卒全体ｽｹｼﾞｭｰﾙ_WRS新卒全体ｽｹｼﾞｭｰﾙ_ソフトSS概算見積_030620" xfId="1530" xr:uid="{00000000-0005-0000-0000-000017060000}"/>
    <cellStyle name="見積-桁区切り_原価計画書(R-T社開発)_T社WRSサービス作業計画_020214_WRS新卒全体ｽｹｼﾞｭｰﾙ_WRS新卒全体ｽｹｼﾞｭｰﾙ_ソフトSS概算見積_030620" xfId="1531" xr:uid="{00000000-0005-0000-0000-000018060000}"/>
    <cellStyle name="見積桁区切り_原価計画書(R-T社開発)_T社WRSサービス作業計画_020214_WRS新卒全体ｽｹｼﾞｭｰﾙ_WRS新卒全体ｽｹｼﾞｭｰﾙ_ソフトSS概算見積_030620_＜3産2＞見積条件040127" xfId="1532" xr:uid="{00000000-0005-0000-0000-000019060000}"/>
    <cellStyle name="見積-桁区切り_原価計画書(R-T社開発)_T社WRSサービス作業計画_020214_WRS新卒全体ｽｹｼﾞｭｰﾙ_WRS新卒全体ｽｹｼﾞｭｰﾙ_ソフトSS概算見積_030620_＜3産2＞見積条件040127" xfId="1533" xr:uid="{00000000-0005-0000-0000-00001A060000}"/>
    <cellStyle name="見積桁区切り_原価計画書(R-T社開発)_T社WRSサービス作業計画_020214_WRS新卒全体ｽｹｼﾞｭｰﾙ_WRS新卒全体ｽｹｼﾞｭｰﾙ_ソフトSS概算見積_030620_1" xfId="1534" xr:uid="{00000000-0005-0000-0000-00001B060000}"/>
    <cellStyle name="見積-桁区切り_原価計画書(R-T社開発)_T社WRSサービス作業計画_020214_WRS新卒全体ｽｹｼﾞｭｰﾙ_WRS新卒全体ｽｹｼﾞｭｰﾙ_ソフトSS概算見積_030620_1" xfId="1535" xr:uid="{00000000-0005-0000-0000-00001C060000}"/>
    <cellStyle name="見積桁区切り_原価計画書(R-T社開発)_T社WRSサービス作業計画_020214_WRS新卒全体ｽｹｼﾞｭｰﾙ_WRS新卒全体ｽｹｼﾞｭｰﾙ_ソフトSS概算見積_030620_JITEC見積_03.10.1" xfId="1536" xr:uid="{00000000-0005-0000-0000-00001D060000}"/>
    <cellStyle name="見積-桁区切り_原価計画書(R-T社開発)_T社WRSサービス作業計画_020214_WRS新卒全体ｽｹｼﾞｭｰﾙ_WRS新卒全体ｽｹｼﾞｭｰﾙ_ソフトSS概算見積_030620_JITEC見積_03.10.1" xfId="1537" xr:uid="{00000000-0005-0000-0000-00001E060000}"/>
    <cellStyle name="見積桁区切り_原価計画書(R-T社開発)_T社WRSサービス作業計画_020214_WRS新卒全体ｽｹｼﾞｭｰﾙ_WRS新卒全体ｽｹｼﾞｭｰﾙ_ソフトSS概算見積_030620_JITEC見積_03.10.1_工数内訳" xfId="1538" xr:uid="{00000000-0005-0000-0000-00001F060000}"/>
    <cellStyle name="見積-桁区切り_原価計画書(R-T社開発)_T社WRSサービス作業計画_020214_WRS新卒全体ｽｹｼﾞｭｰﾙ_WRS新卒全体ｽｹｼﾞｭｰﾙ_ソフトSS概算見積_030620_JITEC見積_03.10.1_工数内訳" xfId="1539" xr:uid="{00000000-0005-0000-0000-000020060000}"/>
    <cellStyle name="見積桁区切り_原価計画書(R-T社開発)_T社WRSサービス作業計画_020214_WRS新卒全体ｽｹｼﾞｭｰﾙ_WRS新卒全体ｽｹｼﾞｭｰﾙ_ソフトSS概算見積_030620_JITEC見積_03.9.28" xfId="1540" xr:uid="{00000000-0005-0000-0000-000021060000}"/>
    <cellStyle name="見積-桁区切り_原価計画書(R-T社開発)_T社WRSサービス作業計画_020214_WRS新卒全体ｽｹｼﾞｭｰﾙ_WRS新卒全体ｽｹｼﾞｭｰﾙ_ソフトSS概算見積_030620_JITEC見積_03.9.28" xfId="1541" xr:uid="{00000000-0005-0000-0000-000022060000}"/>
    <cellStyle name="見積桁区切り_原価計画書(R-T社開発)_T社WRSサービス作業計画_020214_WRS新卒全体ｽｹｼﾞｭｰﾙ_WRS新卒全体ｽｹｼﾞｭｰﾙ_ソフトSS概算見積_030620_ソフトSS概算見" xfId="1542" xr:uid="{00000000-0005-0000-0000-000023060000}"/>
    <cellStyle name="見積-桁区切り_原価計画書(R-T社開発)_T社WRSサービス作業計画_020214_WRS新卒全体ｽｹｼﾞｭｰﾙ_WRS新卒全体ｽｹｼﾞｭｰﾙ_ソフトSS概算見積_030620_ソフトSS概算見" xfId="1543" xr:uid="{00000000-0005-0000-0000-000024060000}"/>
    <cellStyle name="見積桁区切り_原価計画書(R-T社開発)_T社WRSサービス作業計画_020214_WRS新卒全体ｽｹｼﾞｭｰﾙ_WRS新卒全体ｽｹｼﾞｭｰﾙ_ソフトSS概算見積_030620_ソフトSS概算見_＜3産2＞見積条件040127" xfId="1544" xr:uid="{00000000-0005-0000-0000-000025060000}"/>
    <cellStyle name="見積-桁区切り_原価計画書(R-T社開発)_T社WRSサービス作業計画_020214_WRS新卒全体ｽｹｼﾞｭｰﾙ_WRS新卒全体ｽｹｼﾞｭｰﾙ_ソフトSS概算見積_030620_ソフトSS概算見_＜3産2＞見積条件040127" xfId="1545" xr:uid="{00000000-0005-0000-0000-000026060000}"/>
    <cellStyle name="見積桁区切り_原価計画書(R-T社開発)_T社WRSサービス作業計画_020214_WRS新卒全体ｽｹｼﾞｭｰﾙ_WRS新卒全体ｽｹｼﾞｭｰﾙ_ソフトSS概算見積_030620_ソフトSS概算見_JITEC見積_03.10.1" xfId="1546" xr:uid="{00000000-0005-0000-0000-000027060000}"/>
    <cellStyle name="見積-桁区切り_原価計画書(R-T社開発)_T社WRSサービス作業計画_020214_WRS新卒全体ｽｹｼﾞｭｰﾙ_WRS新卒全体ｽｹｼﾞｭｰﾙ_ソフトSS概算見積_030620_ソフトSS概算見_JITEC見積_03.10.1" xfId="1547" xr:uid="{00000000-0005-0000-0000-000028060000}"/>
    <cellStyle name="見積桁区切り_原価計画書(R-T社開発)_T社WRSサービス作業計画_020214_WRS新卒全体ｽｹｼﾞｭｰﾙ_WRS新卒全体ｽｹｼﾞｭｰﾙ_ソフトSS概算見積_030620_ソフトSS概算見_JITEC見積_03.10.1_工数内訳" xfId="1548" xr:uid="{00000000-0005-0000-0000-000029060000}"/>
    <cellStyle name="見積-桁区切り_原価計画書(R-T社開発)_T社WRSサービス作業計画_020214_WRS新卒全体ｽｹｼﾞｭｰﾙ_WRS新卒全体ｽｹｼﾞｭｰﾙ_ソフトSS概算見積_030620_ソフトSS概算見_JITEC見積_03.10.1_工数内訳" xfId="1549" xr:uid="{00000000-0005-0000-0000-00002A060000}"/>
    <cellStyle name="見積桁区切り_原価計画書(R-T社開発)_T社WRSサービス作業計画_020214_WRS新卒全体ｽｹｼﾞｭｰﾙ_WRS新卒全体ｽｹｼﾞｭｰﾙ_ソフトSS概算見積_030620_ソフトSS概算見_JITEC見積_03.9.28" xfId="1550" xr:uid="{00000000-0005-0000-0000-00002B060000}"/>
    <cellStyle name="見積-桁区切り_原価計画書(R-T社開発)_T社WRSサービス作業計画_020214_WRS新卒全体ｽｹｼﾞｭｰﾙ_WRS新卒全体ｽｹｼﾞｭｰﾙ_ソフトSS概算見積_030620_ソフトSS概算見_JITEC見積_03.9.28" xfId="1551" xr:uid="{00000000-0005-0000-0000-00002C060000}"/>
    <cellStyle name="見積桁区切り_原価計画書(R-T社開発)_T社WRSサービス作業計画_020214_WRS新卒全体ｽｹｼﾞｭｰﾙ_WRS新卒全体ｽｹｼﾞｭｰﾙ_ソフトSS概算見積_030620_ソフトSS概算見_開発見積" xfId="1552" xr:uid="{00000000-0005-0000-0000-00002D060000}"/>
    <cellStyle name="見積-桁区切り_原価計画書(R-T社開発)_T社WRSサービス作業計画_020214_WRS新卒全体ｽｹｼﾞｭｰﾙ_WRS新卒全体ｽｹｼﾞｭｰﾙ_ソフトSS概算見積_030620_ソフトSS概算見_開発見積" xfId="1553" xr:uid="{00000000-0005-0000-0000-00002E060000}"/>
    <cellStyle name="見積桁区切り_原価計画書(R-T社開発)_T社WRSサービス作業計画_020214_WRS新卒全体ｽｹｼﾞｭｰﾙ_WRS新卒全体ｽｹｼﾞｭｰﾙ_ソフトSS概算見積_030620_ソフトSS概算見積_030620" xfId="1554" xr:uid="{00000000-0005-0000-0000-00002F060000}"/>
    <cellStyle name="見積-桁区切り_原価計画書(R-T社開発)_T社WRSサービス作業計画_020214_WRS新卒全体ｽｹｼﾞｭｰﾙ_WRS新卒全体ｽｹｼﾞｭｰﾙ_ソフトSS概算見積_030620_ソフトSS概算見積_030620" xfId="1555" xr:uid="{00000000-0005-0000-0000-000030060000}"/>
    <cellStyle name="見積桁区切り_原価計画書(R-T社開発)_T社WRSサービス作業計画_020214_WRS新卒全体ｽｹｼﾞｭｰﾙ_WRS新卒全体ｽｹｼﾞｭｰﾙ_ソフトSS概算見積_030620_ソフトSS概算見積_030627" xfId="1556" xr:uid="{00000000-0005-0000-0000-000031060000}"/>
    <cellStyle name="見積-桁区切り_原価計画書(R-T社開発)_T社WRSサービス作業計画_020214_WRS新卒全体ｽｹｼﾞｭｰﾙ_WRS新卒全体ｽｹｼﾞｭｰﾙ_ソフトSS概算見積_030620_ソフトSS概算見積_030627" xfId="1557" xr:uid="{00000000-0005-0000-0000-000032060000}"/>
    <cellStyle name="見積桁区切り_原価計画書(R-T社開発)_T社WRSサービス作業計画_020214_WRS新卒全体ｽｹｼﾞｭｰﾙ_WRS新卒全体ｽｹｼﾞｭｰﾙ_ソフトSS概算見積_030620_ソフトSS概算見積_030627_＜3産2＞見積条件040127" xfId="1558" xr:uid="{00000000-0005-0000-0000-000033060000}"/>
    <cellStyle name="見積-桁区切り_原価計画書(R-T社開発)_T社WRSサービス作業計画_020214_WRS新卒全体ｽｹｼﾞｭｰﾙ_WRS新卒全体ｽｹｼﾞｭｰﾙ_ソフトSS概算見積_030620_ソフトSS概算見積_030627_＜3産2＞見積条件040127" xfId="1559" xr:uid="{00000000-0005-0000-0000-000034060000}"/>
    <cellStyle name="見積桁区切り_原価計画書(R-T社開発)_T社WRSサービス作業計画_020214_WRS新卒全体ｽｹｼﾞｭｰﾙ_WRS新卒全体ｽｹｼﾞｭｰﾙ_ソフトSS概算見積_030620_ソフトSS概算見積_030627_1" xfId="1560" xr:uid="{00000000-0005-0000-0000-000035060000}"/>
    <cellStyle name="見積-桁区切り_原価計画書(R-T社開発)_T社WRSサービス作業計画_020214_WRS新卒全体ｽｹｼﾞｭｰﾙ_WRS新卒全体ｽｹｼﾞｭｰﾙ_ソフトSS概算見積_030620_ソフトSS概算見積_030627_1" xfId="1561" xr:uid="{00000000-0005-0000-0000-000036060000}"/>
    <cellStyle name="見積桁区切り_原価計画書(R-T社開発)_T社WRSサービス作業計画_020214_WRS新卒全体ｽｹｼﾞｭｰﾙ_WRS新卒全体ｽｹｼﾞｭｰﾙ_ソフトSS概算見積_030620_ソフトSS概算見積_030627_JITEC見積_03.10.1" xfId="1562" xr:uid="{00000000-0005-0000-0000-000037060000}"/>
    <cellStyle name="見積-桁区切り_原価計画書(R-T社開発)_T社WRSサービス作業計画_020214_WRS新卒全体ｽｹｼﾞｭｰﾙ_WRS新卒全体ｽｹｼﾞｭｰﾙ_ソフトSS概算見積_030620_ソフトSS概算見積_030627_JITEC見積_03.10.1" xfId="1563" xr:uid="{00000000-0005-0000-0000-000038060000}"/>
    <cellStyle name="見積桁区切り_原価計画書(R-T社開発)_T社WRSサービス作業計画_020214_WRS新卒全体ｽｹｼﾞｭｰﾙ_WRS新卒全体ｽｹｼﾞｭｰﾙ_ソフトSS概算見積_030620_ソフトSS概算見積_030627_JITEC見積_03.10.1_工数内訳" xfId="1564" xr:uid="{00000000-0005-0000-0000-000039060000}"/>
    <cellStyle name="見積-桁区切り_原価計画書(R-T社開発)_T社WRSサービス作業計画_020214_WRS新卒全体ｽｹｼﾞｭｰﾙ_WRS新卒全体ｽｹｼﾞｭｰﾙ_ソフトSS概算見積_030620_ソフトSS概算見積_030627_JITEC見積_03.10.1_工数内訳" xfId="1565" xr:uid="{00000000-0005-0000-0000-00003A060000}"/>
    <cellStyle name="見積桁区切り_原価計画書(R-T社開発)_T社WRSサービス作業計画_020214_WRS新卒全体ｽｹｼﾞｭｰﾙ_WRS新卒全体ｽｹｼﾞｭｰﾙ_ソフトSS概算見積_030620_ソフトSS概算見積_030627_JITEC見積_03.9.28" xfId="1566" xr:uid="{00000000-0005-0000-0000-00003B060000}"/>
    <cellStyle name="見積-桁区切り_原価計画書(R-T社開発)_T社WRSサービス作業計画_020214_WRS新卒全体ｽｹｼﾞｭｰﾙ_WRS新卒全体ｽｹｼﾞｭｰﾙ_ソフトSS概算見積_030620_ソフトSS概算見積_030627_JITEC見積_03.9.28" xfId="1567" xr:uid="{00000000-0005-0000-0000-00003C060000}"/>
    <cellStyle name="見積桁区切り_原価計画書(R-T社開発)_T社WRSサービス作業計画_020214_WRS新卒全体ｽｹｼﾞｭｰﾙ_WRS新卒全体ｽｹｼﾞｭｰﾙ_ソフトSS概算見積_030620_ソフトSS概算見積_030627_ソフトSS概算見積_030627" xfId="1568" xr:uid="{00000000-0005-0000-0000-00003D060000}"/>
    <cellStyle name="見積-桁区切り_原価計画書(R-T社開発)_T社WRSサービス作業計画_020214_WRS新卒全体ｽｹｼﾞｭｰﾙ_WRS新卒全体ｽｹｼﾞｭｰﾙ_ソフトSS概算見積_030620_ソフトSS概算見積_030627_ソフトSS概算見積_030627" xfId="1569" xr:uid="{00000000-0005-0000-0000-00003E060000}"/>
    <cellStyle name="見積桁区切り_原価計画書(R-T社開発)_T社WRSサービス作業計画_020214_WRS新卒全体ｽｹｼﾞｭｰﾙ_WRS新卒全体ｽｹｼﾞｭｰﾙ_ソフトSS概算見積_030620_ソフトSS概算見積_030627_開発見積" xfId="1570" xr:uid="{00000000-0005-0000-0000-00003F060000}"/>
    <cellStyle name="見積-桁区切り_原価計画書(R-T社開発)_T社WRSサービス作業計画_020214_WRS新卒全体ｽｹｼﾞｭｰﾙ_WRS新卒全体ｽｹｼﾞｭｰﾙ_ソフトSS概算見積_030620_ソフトSS概算見積_030627_開発見積" xfId="1571" xr:uid="{00000000-0005-0000-0000-000040060000}"/>
    <cellStyle name="見積桁区切り_原価計画書(R-T社開発)_T社WRSサービス作業計画_020214_WRS新卒全体ｽｹｼﾞｭｰﾙ_WRS新卒全体ｽｹｼﾞｭｰﾙ_ソフトSS概算見積_030620_開発見積" xfId="1572" xr:uid="{00000000-0005-0000-0000-000041060000}"/>
    <cellStyle name="見積-桁区切り_原価計画書(R-T社開発)_T社WRSサービス作業計画_020214_WRS新卒全体ｽｹｼﾞｭｰﾙ_WRS新卒全体ｽｹｼﾞｭｰﾙ_ソフトSS概算見積_030620_開発見積" xfId="1573" xr:uid="{00000000-0005-0000-0000-000042060000}"/>
    <cellStyle name="見積桁区切り_原価計画書(R-T社開発)_T社WRSサービス作業計画_020214_WRS新卒全体ｽｹｼﾞｭｰﾙ_WRS新卒全体ｽｹｼﾞｭｰﾙ_ソフトSS概算見積_03062１営業修正" xfId="1574" xr:uid="{00000000-0005-0000-0000-000043060000}"/>
    <cellStyle name="見積-桁区切り_原価計画書(R-T社開発)_T社WRSサービス作業計画_020214_WRS新卒全体ｽｹｼﾞｭｰﾙ_WRS新卒全体ｽｹｼﾞｭｰﾙ_ソフトSS概算見積_03062１営業修正" xfId="1575" xr:uid="{00000000-0005-0000-0000-000044060000}"/>
    <cellStyle name="見積桁区切り_原価計画書(R-T社開発)_T社WRSサービス作業計画_020214_WRS新卒全体ｽｹｼﾞｭｰﾙ_WRS新卒全体ｽｹｼﾞｭｰﾙ_ソフトSS概算見積_03062１営業修正_＜3産2＞見積条件040127" xfId="1576" xr:uid="{00000000-0005-0000-0000-000045060000}"/>
    <cellStyle name="見積-桁区切り_原価計画書(R-T社開発)_T社WRSサービス作業計画_020214_WRS新卒全体ｽｹｼﾞｭｰﾙ_WRS新卒全体ｽｹｼﾞｭｰﾙ_ソフトSS概算見積_03062１営業修正_＜3産2＞見積条件040127" xfId="1577" xr:uid="{00000000-0005-0000-0000-000046060000}"/>
    <cellStyle name="見積桁区切り_原価計画書(R-T社開発)_T社WRSサービス作業計画_020214_WRS新卒全体ｽｹｼﾞｭｰﾙ_WRS新卒全体ｽｹｼﾞｭｰﾙ_ソフトSS概算見積_03062１営業修正_JITEC見積_03.10.1" xfId="1578" xr:uid="{00000000-0005-0000-0000-000047060000}"/>
    <cellStyle name="見積-桁区切り_原価計画書(R-T社開発)_T社WRSサービス作業計画_020214_WRS新卒全体ｽｹｼﾞｭｰﾙ_WRS新卒全体ｽｹｼﾞｭｰﾙ_ソフトSS概算見積_03062１営業修正_JITEC見積_03.10.1" xfId="1579" xr:uid="{00000000-0005-0000-0000-000048060000}"/>
    <cellStyle name="見積桁区切り_原価計画書(R-T社開発)_T社WRSサービス作業計画_020214_WRS新卒全体ｽｹｼﾞｭｰﾙ_WRS新卒全体ｽｹｼﾞｭｰﾙ_ソフトSS概算見積_03062１営業修正_JITEC見積_03.10.1_工数内訳" xfId="1580" xr:uid="{00000000-0005-0000-0000-000049060000}"/>
    <cellStyle name="見積-桁区切り_原価計画書(R-T社開発)_T社WRSサービス作業計画_020214_WRS新卒全体ｽｹｼﾞｭｰﾙ_WRS新卒全体ｽｹｼﾞｭｰﾙ_ソフトSS概算見積_03062１営業修正_JITEC見積_03.10.1_工数内訳" xfId="1581" xr:uid="{00000000-0005-0000-0000-00004A060000}"/>
    <cellStyle name="見積桁区切り_原価計画書(R-T社開発)_T社WRSサービス作業計画_020214_WRS新卒全体ｽｹｼﾞｭｰﾙ_WRS新卒全体ｽｹｼﾞｭｰﾙ_ソフトSS概算見積_03062１営業修正_JITEC見積_03.9.28" xfId="1582" xr:uid="{00000000-0005-0000-0000-00004B060000}"/>
    <cellStyle name="見積-桁区切り_原価計画書(R-T社開発)_T社WRSサービス作業計画_020214_WRS新卒全体ｽｹｼﾞｭｰﾙ_WRS新卒全体ｽｹｼﾞｭｰﾙ_ソフトSS概算見積_03062１営業修正_JITEC見積_03.9.28" xfId="1583" xr:uid="{00000000-0005-0000-0000-00004C060000}"/>
    <cellStyle name="見積桁区切り_原価計画書(R-T社開発)_T社WRSサービス作業計画_020214_WRS新卒全体ｽｹｼﾞｭｰﾙ_WRS新卒全体ｽｹｼﾞｭｰﾙ_ソフトSS概算見積_03062１営業修正_ソフトSS概算見" xfId="1584" xr:uid="{00000000-0005-0000-0000-00004D060000}"/>
    <cellStyle name="見積-桁区切り_原価計画書(R-T社開発)_T社WRSサービス作業計画_020214_WRS新卒全体ｽｹｼﾞｭｰﾙ_WRS新卒全体ｽｹｼﾞｭｰﾙ_ソフトSS概算見積_03062１営業修正_ソフトSS概算見" xfId="1585" xr:uid="{00000000-0005-0000-0000-00004E060000}"/>
    <cellStyle name="見積桁区切り_原価計画書(R-T社開発)_T社WRSサービス作業計画_020214_WRS新卒全体ｽｹｼﾞｭｰﾙ_WRS新卒全体ｽｹｼﾞｭｰﾙ_ソフトSS概算見積_03062１営業修正_ソフトSS概算見_＜3産2＞見積条件040127" xfId="1586" xr:uid="{00000000-0005-0000-0000-00004F060000}"/>
    <cellStyle name="見積-桁区切り_原価計画書(R-T社開発)_T社WRSサービス作業計画_020214_WRS新卒全体ｽｹｼﾞｭｰﾙ_WRS新卒全体ｽｹｼﾞｭｰﾙ_ソフトSS概算見積_03062１営業修正_ソフトSS概算見_＜3産2＞見積条件040127" xfId="1587" xr:uid="{00000000-0005-0000-0000-000050060000}"/>
    <cellStyle name="見積桁区切り_原価計画書(R-T社開発)_T社WRSサービス作業計画_020214_WRS新卒全体ｽｹｼﾞｭｰﾙ_WRS新卒全体ｽｹｼﾞｭｰﾙ_ソフトSS概算見積_03062１営業修正_ソフトSS概算見_JITEC見積_03.10.1" xfId="1588" xr:uid="{00000000-0005-0000-0000-000051060000}"/>
    <cellStyle name="見積-桁区切り_原価計画書(R-T社開発)_T社WRSサービス作業計画_020214_WRS新卒全体ｽｹｼﾞｭｰﾙ_WRS新卒全体ｽｹｼﾞｭｰﾙ_ソフトSS概算見積_03062１営業修正_ソフトSS概算見_JITEC見積_03.10.1" xfId="1589" xr:uid="{00000000-0005-0000-0000-000052060000}"/>
    <cellStyle name="見積桁区切り_原価計画書(R-T社開発)_T社WRSサービス作業計画_020214_WRS新卒全体ｽｹｼﾞｭｰﾙ_WRS新卒全体ｽｹｼﾞｭｰﾙ_ソフトSS概算見積_03062１営業修正_ソフトSS概算見_JITEC見積_03.10.1_工数内訳" xfId="1590" xr:uid="{00000000-0005-0000-0000-000053060000}"/>
    <cellStyle name="見積-桁区切り_原価計画書(R-T社開発)_T社WRSサービス作業計画_020214_WRS新卒全体ｽｹｼﾞｭｰﾙ_WRS新卒全体ｽｹｼﾞｭｰﾙ_ソフトSS概算見積_03062１営業修正_ソフトSS概算見_JITEC見積_03.10.1_工数内訳" xfId="1591" xr:uid="{00000000-0005-0000-0000-000054060000}"/>
    <cellStyle name="見積桁区切り_原価計画書(R-T社開発)_T社WRSサービス作業計画_020214_WRS新卒全体ｽｹｼﾞｭｰﾙ_WRS新卒全体ｽｹｼﾞｭｰﾙ_ソフトSS概算見積_03062１営業修正_ソフトSS概算見_JITEC見積_03.9.28" xfId="1592" xr:uid="{00000000-0005-0000-0000-000055060000}"/>
    <cellStyle name="見積-桁区切り_原価計画書(R-T社開発)_T社WRSサービス作業計画_020214_WRS新卒全体ｽｹｼﾞｭｰﾙ_WRS新卒全体ｽｹｼﾞｭｰﾙ_ソフトSS概算見積_03062１営業修正_ソフトSS概算見_JITEC見積_03.9.28" xfId="1593" xr:uid="{00000000-0005-0000-0000-000056060000}"/>
    <cellStyle name="見積桁区切り_原価計画書(R-T社開発)_T社WRSサービス作業計画_020214_WRS新卒全体ｽｹｼﾞｭｰﾙ_WRS新卒全体ｽｹｼﾞｭｰﾙ_ソフトSS概算見積_03062１営業修正_ソフトSS概算見_開発見積" xfId="1594" xr:uid="{00000000-0005-0000-0000-000057060000}"/>
    <cellStyle name="見積-桁区切り_原価計画書(R-T社開発)_T社WRSサービス作業計画_020214_WRS新卒全体ｽｹｼﾞｭｰﾙ_WRS新卒全体ｽｹｼﾞｭｰﾙ_ソフトSS概算見積_03062１営業修正_ソフトSS概算見_開発見積" xfId="1595" xr:uid="{00000000-0005-0000-0000-000058060000}"/>
    <cellStyle name="見積桁区切り_原価計画書(R-T社開発)_T社WRSサービス作業計画_020214_WRS新卒全体ｽｹｼﾞｭｰﾙ_WRS新卒全体ｽｹｼﾞｭｰﾙ_ソフトSS概算見積_03062１営業修正_開発見積" xfId="1596" xr:uid="{00000000-0005-0000-0000-000059060000}"/>
    <cellStyle name="見積-桁区切り_原価計画書(R-T社開発)_T社WRSサービス作業計画_020214_WRS新卒全体ｽｹｼﾞｭｰﾙ_WRS新卒全体ｽｹｼﾞｭｰﾙ_ソフトSS概算見積_03062１営業修正_開発見積" xfId="1597" xr:uid="{00000000-0005-0000-0000-00005A060000}"/>
    <cellStyle name="見積桁区切り_原価計画書(R-T社開発)_T社WRSサービス作業計画_020214_WRS新卒全体ｽｹｼﾞｭｰﾙ_WRS新卒全体ｽｹｼﾞｭｰﾙ_ソフトSS概算見積_030627" xfId="1598" xr:uid="{00000000-0005-0000-0000-00005B060000}"/>
    <cellStyle name="見積-桁区切り_原価計画書(R-T社開発)_T社WRSサービス作業計画_020214_WRS新卒全体ｽｹｼﾞｭｰﾙ_WRS新卒全体ｽｹｼﾞｭｰﾙ_ソフトSS概算見積_030627" xfId="1599" xr:uid="{00000000-0005-0000-0000-00005C060000}"/>
    <cellStyle name="見積桁区切り_原価計画書(R-T社開発)_T社WRSサービス作業計画_020214_WRS新卒全体ｽｹｼﾞｭｰﾙ_WRS新卒全体ｽｹｼﾞｭｰﾙ_開発見積" xfId="1600" xr:uid="{00000000-0005-0000-0000-00005D060000}"/>
    <cellStyle name="見積-桁区切り_原価計画書(R-T社開発)_T社WRSサービス作業計画_020214_WRS新卒全体ｽｹｼﾞｭｰﾙ_WRS新卒全体ｽｹｼﾞｭｰﾙ_開発見積" xfId="1601" xr:uid="{00000000-0005-0000-0000-00005E060000}"/>
    <cellStyle name="見積桁区切り_原価計画書(R-T社開発)_T社WRSサービス作業計画_020214_WRS新卒全体ｽｹｼﾞｭｰﾙ_WRS新卒全体ｽｹｼﾞｭｰﾙ_自治体向けｻｲﾄ構築機能整理表_Ver2" xfId="1602" xr:uid="{00000000-0005-0000-0000-00005F060000}"/>
    <cellStyle name="見積-桁区切り_原価計画書(R-T社開発)_T社WRSサービス作業計画_020214_WRS新卒全体ｽｹｼﾞｭｰﾙ_WRS新卒全体ｽｹｼﾞｭｰﾙ_自治体向けｻｲﾄ構築機能整理表_Ver2" xfId="1603" xr:uid="{00000000-0005-0000-0000-000060060000}"/>
    <cellStyle name="見積桁区切り_原価計画書(R-T社開発)_T社WRSサービス作業計画_020214_WRS新卒全体ｽｹｼﾞｭｰﾙ_WRS新卒全体ｽｹｼﾞｭｰﾙ_提示版" xfId="1604" xr:uid="{00000000-0005-0000-0000-000061060000}"/>
    <cellStyle name="見積-桁区切り_原価計画書(R-T社開発)_T社WRSサービス作業計画_020214_WRS新卒全体ｽｹｼﾞｭｰﾙ_WRS新卒全体ｽｹｼﾞｭｰﾙ_提示版" xfId="1605" xr:uid="{00000000-0005-0000-0000-000062060000}"/>
    <cellStyle name="見積桁区切り_原価計画書(R-T社開発)_T社WRSサービス作業計画_020214_WRS新卒全体ｽｹｼﾞｭｰﾙ_WRS新卒全体ｽｹｼﾞｭｰﾙ_提示版_＜3産2＞見積条件040127" xfId="1606" xr:uid="{00000000-0005-0000-0000-000063060000}"/>
    <cellStyle name="見積-桁区切り_原価計画書(R-T社開発)_T社WRSサービス作業計画_020214_WRS新卒全体ｽｹｼﾞｭｰﾙ_WRS新卒全体ｽｹｼﾞｭｰﾙ_提示版_＜3産2＞見積条件040127" xfId="1607" xr:uid="{00000000-0005-0000-0000-000064060000}"/>
    <cellStyle name="見積桁区切り_原価計画書(R-T社開発)_T社WRSサービス作業計画_020214_WRS新卒全体ｽｹｼﾞｭｰﾙ_WRS新卒全体ｽｹｼﾞｭｰﾙ_提示版_JITEC見積_03.10.1" xfId="1608" xr:uid="{00000000-0005-0000-0000-000065060000}"/>
    <cellStyle name="見積-桁区切り_原価計画書(R-T社開発)_T社WRSサービス作業計画_020214_WRS新卒全体ｽｹｼﾞｭｰﾙ_WRS新卒全体ｽｹｼﾞｭｰﾙ_提示版_JITEC見積_03.10.1" xfId="1609" xr:uid="{00000000-0005-0000-0000-000066060000}"/>
    <cellStyle name="見積桁区切り_原価計画書(R-T社開発)_T社WRSサービス作業計画_020214_WRS新卒全体ｽｹｼﾞｭｰﾙ_WRS新卒全体ｽｹｼﾞｭｰﾙ_提示版_JITEC見積_03.10.1_工数内訳" xfId="1610" xr:uid="{00000000-0005-0000-0000-000067060000}"/>
    <cellStyle name="見積-桁区切り_原価計画書(R-T社開発)_T社WRSサービス作業計画_020214_WRS新卒全体ｽｹｼﾞｭｰﾙ_WRS新卒全体ｽｹｼﾞｭｰﾙ_提示版_JITEC見積_03.10.1_工数内訳" xfId="1611" xr:uid="{00000000-0005-0000-0000-000068060000}"/>
    <cellStyle name="見積桁区切り_原価計画書(R-T社開発)_T社WRSサービス作業計画_020214_WRS新卒全体ｽｹｼﾞｭｰﾙ_WRS新卒全体ｽｹｼﾞｭｰﾙ_提示版_JITEC見積_03.9.28" xfId="1612" xr:uid="{00000000-0005-0000-0000-000069060000}"/>
    <cellStyle name="見積-桁区切り_原価計画書(R-T社開発)_T社WRSサービス作業計画_020214_WRS新卒全体ｽｹｼﾞｭｰﾙ_WRS新卒全体ｽｹｼﾞｭｰﾙ_提示版_JITEC見積_03.9.28" xfId="1613" xr:uid="{00000000-0005-0000-0000-00006A060000}"/>
    <cellStyle name="見積桁区切り_原価計画書(R-T社開発)_T社WRSサービス作業計画_020214_WRS新卒全体ｽｹｼﾞｭｰﾙ_WRS新卒全体ｽｹｼﾞｭｰﾙ_提示版_ソフトSS概算見積_030620" xfId="1614" xr:uid="{00000000-0005-0000-0000-00006B060000}"/>
    <cellStyle name="見積-桁区切り_原価計画書(R-T社開発)_T社WRSサービス作業計画_020214_WRS新卒全体ｽｹｼﾞｭｰﾙ_WRS新卒全体ｽｹｼﾞｭｰﾙ_提示版_ソフトSS概算見積_030620" xfId="1615" xr:uid="{00000000-0005-0000-0000-00006C060000}"/>
    <cellStyle name="見積桁区切り_原価計画書(R-T社開発)_T社WRSサービス作業計画_020214_WRS新卒全体ｽｹｼﾞｭｰﾙ_WRS新卒全体ｽｹｼﾞｭｰﾙ_提示版_ソフトSS概算見積_030620_＜3産2＞見積条件040127" xfId="1616" xr:uid="{00000000-0005-0000-0000-00006D060000}"/>
    <cellStyle name="見積-桁区切り_原価計画書(R-T社開発)_T社WRSサービス作業計画_020214_WRS新卒全体ｽｹｼﾞｭｰﾙ_WRS新卒全体ｽｹｼﾞｭｰﾙ_提示版_ソフトSS概算見積_030620_＜3産2＞見積条件040127" xfId="1617" xr:uid="{00000000-0005-0000-0000-00006E060000}"/>
    <cellStyle name="見積桁区切り_原価計画書(R-T社開発)_T社WRSサービス作業計画_020214_WRS新卒全体ｽｹｼﾞｭｰﾙ_WRS新卒全体ｽｹｼﾞｭｰﾙ_提示版_ソフトSS概算見積_030620_1" xfId="1618" xr:uid="{00000000-0005-0000-0000-00006F060000}"/>
    <cellStyle name="見積-桁区切り_原価計画書(R-T社開発)_T社WRSサービス作業計画_020214_WRS新卒全体ｽｹｼﾞｭｰﾙ_WRS新卒全体ｽｹｼﾞｭｰﾙ_提示版_ソフトSS概算見積_030620_1" xfId="1619" xr:uid="{00000000-0005-0000-0000-000070060000}"/>
    <cellStyle name="見積桁区切り_原価計画書(R-T社開発)_T社WRSサービス作業計画_020214_WRS新卒全体ｽｹｼﾞｭｰﾙ_WRS新卒全体ｽｹｼﾞｭｰﾙ_提示版_ソフトSS概算見積_030620_JITEC見積_03.10.1" xfId="1620" xr:uid="{00000000-0005-0000-0000-000071060000}"/>
    <cellStyle name="見積-桁区切り_原価計画書(R-T社開発)_T社WRSサービス作業計画_020214_WRS新卒全体ｽｹｼﾞｭｰﾙ_WRS新卒全体ｽｹｼﾞｭｰﾙ_提示版_ソフトSS概算見積_030620_JITEC見積_03.10.1" xfId="1621" xr:uid="{00000000-0005-0000-0000-000072060000}"/>
    <cellStyle name="見積桁区切り_原価計画書(R-T社開発)_T社WRSサービス作業計画_020214_WRS新卒全体ｽｹｼﾞｭｰﾙ_WRS新卒全体ｽｹｼﾞｭｰﾙ_提示版_ソフトSS概算見積_030620_JITEC見積_03.10.1_工数内訳" xfId="1622" xr:uid="{00000000-0005-0000-0000-000073060000}"/>
    <cellStyle name="見積-桁区切り_原価計画書(R-T社開発)_T社WRSサービス作業計画_020214_WRS新卒全体ｽｹｼﾞｭｰﾙ_WRS新卒全体ｽｹｼﾞｭｰﾙ_提示版_ソフトSS概算見積_030620_JITEC見積_03.10.1_工数内訳" xfId="1623" xr:uid="{00000000-0005-0000-0000-000074060000}"/>
    <cellStyle name="見積桁区切り_原価計画書(R-T社開発)_T社WRSサービス作業計画_020214_WRS新卒全体ｽｹｼﾞｭｰﾙ_WRS新卒全体ｽｹｼﾞｭｰﾙ_提示版_ソフトSS概算見積_030620_JITEC見積_03.9.28" xfId="1624" xr:uid="{00000000-0005-0000-0000-000075060000}"/>
    <cellStyle name="見積-桁区切り_原価計画書(R-T社開発)_T社WRSサービス作業計画_020214_WRS新卒全体ｽｹｼﾞｭｰﾙ_WRS新卒全体ｽｹｼﾞｭｰﾙ_提示版_ソフトSS概算見積_030620_JITEC見積_03.9.28" xfId="1625" xr:uid="{00000000-0005-0000-0000-000076060000}"/>
    <cellStyle name="見積桁区切り_原価計画書(R-T社開発)_T社WRSサービス作業計画_020214_WRS新卒全体ｽｹｼﾞｭｰﾙ_WRS新卒全体ｽｹｼﾞｭｰﾙ_提示版_ソフトSS概算見積_030620_ソフトSS概算見" xfId="1626" xr:uid="{00000000-0005-0000-0000-000077060000}"/>
    <cellStyle name="見積-桁区切り_原価計画書(R-T社開発)_T社WRSサービス作業計画_020214_WRS新卒全体ｽｹｼﾞｭｰﾙ_WRS新卒全体ｽｹｼﾞｭｰﾙ_提示版_ソフトSS概算見積_030620_ソフトSS概算見" xfId="1627" xr:uid="{00000000-0005-0000-0000-000078060000}"/>
    <cellStyle name="見積桁区切り_原価計画書(R-T社開発)_T社WRSサービス作業計画_020214_WRS新卒全体ｽｹｼﾞｭｰﾙ_WRS新卒全体ｽｹｼﾞｭｰﾙ_提示版_ソフトSS概算見積_030620_ソフトSS概算見_＜3産2＞見積条件040127" xfId="1628" xr:uid="{00000000-0005-0000-0000-000079060000}"/>
    <cellStyle name="見積-桁区切り_原価計画書(R-T社開発)_T社WRSサービス作業計画_020214_WRS新卒全体ｽｹｼﾞｭｰﾙ_WRS新卒全体ｽｹｼﾞｭｰﾙ_提示版_ソフトSS概算見積_030620_ソフトSS概算見_＜3産2＞見積条件040127" xfId="1629" xr:uid="{00000000-0005-0000-0000-00007A060000}"/>
    <cellStyle name="見積桁区切り_原価計画書(R-T社開発)_T社WRSサービス作業計画_020214_WRS新卒全体ｽｹｼﾞｭｰﾙ_WRS新卒全体ｽｹｼﾞｭｰﾙ_提示版_ソフトSS概算見積_030620_ソフトSS概算見_JITEC見積_03.10.1" xfId="1630" xr:uid="{00000000-0005-0000-0000-00007B060000}"/>
    <cellStyle name="見積-桁区切り_原価計画書(R-T社開発)_T社WRSサービス作業計画_020214_WRS新卒全体ｽｹｼﾞｭｰﾙ_WRS新卒全体ｽｹｼﾞｭｰﾙ_提示版_ソフトSS概算見積_030620_ソフトSS概算見_JITEC見積_03.10.1" xfId="1631" xr:uid="{00000000-0005-0000-0000-00007C060000}"/>
    <cellStyle name="見積桁区切り_原価計画書(R-T社開発)_T社WRSサービス作業計画_020214_WRS新卒全体ｽｹｼﾞｭｰﾙ_WRS新卒全体ｽｹｼﾞｭｰﾙ_提示版_ソフトSS概算見積_030620_ソフトSS概算見_JITEC見積_03.10.1_工数内訳" xfId="1632" xr:uid="{00000000-0005-0000-0000-00007D060000}"/>
    <cellStyle name="見積-桁区切り_原価計画書(R-T社開発)_T社WRSサービス作業計画_020214_WRS新卒全体ｽｹｼﾞｭｰﾙ_WRS新卒全体ｽｹｼﾞｭｰﾙ_提示版_ソフトSS概算見積_030620_ソフトSS概算見_JITEC見積_03.10.1_工数内訳" xfId="1633" xr:uid="{00000000-0005-0000-0000-00007E060000}"/>
    <cellStyle name="見積桁区切り_原価計画書(R-T社開発)_T社WRSサービス作業計画_020214_WRS新卒全体ｽｹｼﾞｭｰﾙ_WRS新卒全体ｽｹｼﾞｭｰﾙ_提示版_ソフトSS概算見積_030620_ソフトSS概算見_JITEC見積_03.9.28" xfId="1634" xr:uid="{00000000-0005-0000-0000-00007F060000}"/>
    <cellStyle name="見積-桁区切り_原価計画書(R-T社開発)_T社WRSサービス作業計画_020214_WRS新卒全体ｽｹｼﾞｭｰﾙ_WRS新卒全体ｽｹｼﾞｭｰﾙ_提示版_ソフトSS概算見積_030620_ソフトSS概算見_JITEC見積_03.9.28" xfId="1635" xr:uid="{00000000-0005-0000-0000-000080060000}"/>
    <cellStyle name="見積桁区切り_原価計画書(R-T社開発)_T社WRSサービス作業計画_020214_WRS新卒全体ｽｹｼﾞｭｰﾙ_WRS新卒全体ｽｹｼﾞｭｰﾙ_提示版_ソフトSS概算見積_030620_ソフトSS概算見_開発見積" xfId="1636" xr:uid="{00000000-0005-0000-0000-000081060000}"/>
    <cellStyle name="見積-桁区切り_原価計画書(R-T社開発)_T社WRSサービス作業計画_020214_WRS新卒全体ｽｹｼﾞｭｰﾙ_WRS新卒全体ｽｹｼﾞｭｰﾙ_提示版_ソフトSS概算見積_030620_ソフトSS概算見_開発見積" xfId="1637" xr:uid="{00000000-0005-0000-0000-000082060000}"/>
    <cellStyle name="見積桁区切り_原価計画書(R-T社開発)_T社WRSサービス作業計画_020214_WRS新卒全体ｽｹｼﾞｭｰﾙ_WRS新卒全体ｽｹｼﾞｭｰﾙ_提示版_ソフトSS概算見積_030620_ソフトSS概算見積_030620" xfId="1638" xr:uid="{00000000-0005-0000-0000-000083060000}"/>
    <cellStyle name="見積-桁区切り_原価計画書(R-T社開発)_T社WRSサービス作業計画_020214_WRS新卒全体ｽｹｼﾞｭｰﾙ_WRS新卒全体ｽｹｼﾞｭｰﾙ_提示版_ソフトSS概算見積_030620_ソフトSS概算見積_030620" xfId="1639" xr:uid="{00000000-0005-0000-0000-000084060000}"/>
    <cellStyle name="見積桁区切り_原価計画書(R-T社開発)_T社WRSサービス作業計画_020214_WRS新卒全体ｽｹｼﾞｭｰﾙ_WRS新卒全体ｽｹｼﾞｭｰﾙ_提示版_ソフトSS概算見積_030620_ソフトSS概算見積_030627" xfId="1640" xr:uid="{00000000-0005-0000-0000-000085060000}"/>
    <cellStyle name="見積-桁区切り_原価計画書(R-T社開発)_T社WRSサービス作業計画_020214_WRS新卒全体ｽｹｼﾞｭｰﾙ_WRS新卒全体ｽｹｼﾞｭｰﾙ_提示版_ソフトSS概算見積_030620_ソフトSS概算見積_030627" xfId="1641" xr:uid="{00000000-0005-0000-0000-000086060000}"/>
    <cellStyle name="見積桁区切り_原価計画書(R-T社開発)_T社WRSサービス作業計画_020214_WRS新卒全体ｽｹｼﾞｭｰﾙ_WRS新卒全体ｽｹｼﾞｭｰﾙ_提示版_ソフトSS概算見積_030620_ソフトSS概算見積_030627_＜3産2＞見積条件040127" xfId="1642" xr:uid="{00000000-0005-0000-0000-000087060000}"/>
    <cellStyle name="見積-桁区切り_原価計画書(R-T社開発)_T社WRSサービス作業計画_020214_WRS新卒全体ｽｹｼﾞｭｰﾙ_WRS新卒全体ｽｹｼﾞｭｰﾙ_提示版_ソフトSS概算見積_030620_ソフトSS概算見積_030627_＜3産2＞見積条件040127" xfId="1643" xr:uid="{00000000-0005-0000-0000-000088060000}"/>
    <cellStyle name="見積桁区切り_原価計画書(R-T社開発)_T社WRSサービス作業計画_020214_WRS新卒全体ｽｹｼﾞｭｰﾙ_WRS新卒全体ｽｹｼﾞｭｰﾙ_提示版_ソフトSS概算見積_030620_ソフトSS概算見積_030627_1" xfId="1644" xr:uid="{00000000-0005-0000-0000-000089060000}"/>
    <cellStyle name="見積-桁区切り_原価計画書(R-T社開発)_T社WRSサービス作業計画_020214_WRS新卒全体ｽｹｼﾞｭｰﾙ_WRS新卒全体ｽｹｼﾞｭｰﾙ_提示版_ソフトSS概算見積_030620_ソフトSS概算見積_030627_1" xfId="1645" xr:uid="{00000000-0005-0000-0000-00008A060000}"/>
    <cellStyle name="見積桁区切り_原価計画書(R-T社開発)_T社WRSサービス作業計画_020214_WRS新卒全体ｽｹｼﾞｭｰﾙ_WRS新卒全体ｽｹｼﾞｭｰﾙ_提示版_ソフトSS概算見積_030620_ソフトSS概算見積_030627_JITEC見積_03.10.1" xfId="1646" xr:uid="{00000000-0005-0000-0000-00008B060000}"/>
    <cellStyle name="見積-桁区切り_原価計画書(R-T社開発)_T社WRSサービス作業計画_020214_WRS新卒全体ｽｹｼﾞｭｰﾙ_WRS新卒全体ｽｹｼﾞｭｰﾙ_提示版_ソフトSS概算見積_030620_ソフトSS概算見積_030627_JITEC見積_03.10.1" xfId="1647" xr:uid="{00000000-0005-0000-0000-00008C060000}"/>
    <cellStyle name="見積桁区切り_原価計画書(R-T社開発)_T社WRSサービス作業計画_020214_WRS新卒全体ｽｹｼﾞｭｰﾙ_WRS新卒全体ｽｹｼﾞｭｰﾙ_提示版_ソフトSS概算見積_030620_ソフトSS概算見積_030627_JITEC見積_03.10.1_工数内訳" xfId="1648" xr:uid="{00000000-0005-0000-0000-00008D060000}"/>
    <cellStyle name="見積-桁区切り_原価計画書(R-T社開発)_T社WRSサービス作業計画_020214_WRS新卒全体ｽｹｼﾞｭｰﾙ_WRS新卒全体ｽｹｼﾞｭｰﾙ_提示版_ソフトSS概算見積_030620_ソフトSS概算見積_030627_JITEC見積_03.10.1_工数内訳" xfId="1649" xr:uid="{00000000-0005-0000-0000-00008E060000}"/>
    <cellStyle name="見積桁区切り_原価計画書(R-T社開発)_T社WRSサービス作業計画_020214_WRS新卒全体ｽｹｼﾞｭｰﾙ_WRS新卒全体ｽｹｼﾞｭｰﾙ_提示版_ソフトSS概算見積_030620_ソフトSS概算見積_030627_JITEC見積_03.9.28" xfId="1650" xr:uid="{00000000-0005-0000-0000-00008F060000}"/>
    <cellStyle name="見積-桁区切り_原価計画書(R-T社開発)_T社WRSサービス作業計画_020214_WRS新卒全体ｽｹｼﾞｭｰﾙ_WRS新卒全体ｽｹｼﾞｭｰﾙ_提示版_ソフトSS概算見積_030620_ソフトSS概算見積_030627_JITEC見積_03.9.28" xfId="1651" xr:uid="{00000000-0005-0000-0000-000090060000}"/>
    <cellStyle name="見積桁区切り_原価計画書(R-T社開発)_T社WRSサービス作業計画_020214_WRS新卒全体ｽｹｼﾞｭｰﾙ_WRS新卒全体ｽｹｼﾞｭｰﾙ_提示版_ソフトSS概算見積_030620_ソフトSS概算見積_030627_ソフトSS概算見積_030627" xfId="1652" xr:uid="{00000000-0005-0000-0000-000091060000}"/>
    <cellStyle name="見積-桁区切り_原価計画書(R-T社開発)_T社WRSサービス作業計画_020214_WRS新卒全体ｽｹｼﾞｭｰﾙ_WRS新卒全体ｽｹｼﾞｭｰﾙ_提示版_ソフトSS概算見積_030620_ソフトSS概算見積_030627_ソフトSS概算見積_030627" xfId="1653" xr:uid="{00000000-0005-0000-0000-000092060000}"/>
    <cellStyle name="見積桁区切り_原価計画書(R-T社開発)_T社WRSサービス作業計画_020214_WRS新卒全体ｽｹｼﾞｭｰﾙ_WRS新卒全体ｽｹｼﾞｭｰﾙ_提示版_ソフトSS概算見積_030620_ソフトSS概算見積_030627_開発見積" xfId="1654" xr:uid="{00000000-0005-0000-0000-000093060000}"/>
    <cellStyle name="見積-桁区切り_原価計画書(R-T社開発)_T社WRSサービス作業計画_020214_WRS新卒全体ｽｹｼﾞｭｰﾙ_WRS新卒全体ｽｹｼﾞｭｰﾙ_提示版_ソフトSS概算見積_030620_ソフトSS概算見積_030627_開発見積" xfId="1655" xr:uid="{00000000-0005-0000-0000-000094060000}"/>
    <cellStyle name="見積桁区切り_原価計画書(R-T社開発)_T社WRSサービス作業計画_020214_WRS新卒全体ｽｹｼﾞｭｰﾙ_WRS新卒全体ｽｹｼﾞｭｰﾙ_提示版_ソフトSS概算見積_030620_開発見積" xfId="1656" xr:uid="{00000000-0005-0000-0000-000095060000}"/>
    <cellStyle name="見積-桁区切り_原価計画書(R-T社開発)_T社WRSサービス作業計画_020214_WRS新卒全体ｽｹｼﾞｭｰﾙ_WRS新卒全体ｽｹｼﾞｭｰﾙ_提示版_ソフトSS概算見積_030620_開発見積" xfId="1657" xr:uid="{00000000-0005-0000-0000-000096060000}"/>
    <cellStyle name="見積桁区切り_原価計画書(R-T社開発)_T社WRSサービス作業計画_020214_WRS新卒全体ｽｹｼﾞｭｰﾙ_WRS新卒全体ｽｹｼﾞｭｰﾙ_提示版_ソフトSS概算見積_03062１営業修正" xfId="1658" xr:uid="{00000000-0005-0000-0000-000097060000}"/>
    <cellStyle name="見積-桁区切り_原価計画書(R-T社開発)_T社WRSサービス作業計画_020214_WRS新卒全体ｽｹｼﾞｭｰﾙ_WRS新卒全体ｽｹｼﾞｭｰﾙ_提示版_ソフトSS概算見積_03062１営業修正" xfId="1659" xr:uid="{00000000-0005-0000-0000-000098060000}"/>
    <cellStyle name="見積桁区切り_原価計画書(R-T社開発)_T社WRSサービス作業計画_020214_WRS新卒全体ｽｹｼﾞｭｰﾙ_WRS新卒全体ｽｹｼﾞｭｰﾙ_提示版_ソフトSS概算見積_03062１営業修正_＜3産2＞見積条件040127" xfId="1660" xr:uid="{00000000-0005-0000-0000-000099060000}"/>
    <cellStyle name="見積-桁区切り_原価計画書(R-T社開発)_T社WRSサービス作業計画_020214_WRS新卒全体ｽｹｼﾞｭｰﾙ_WRS新卒全体ｽｹｼﾞｭｰﾙ_提示版_ソフトSS概算見積_03062１営業修正_＜3産2＞見積条件040127" xfId="1661" xr:uid="{00000000-0005-0000-0000-00009A060000}"/>
    <cellStyle name="見積桁区切り_原価計画書(R-T社開発)_T社WRSサービス作業計画_020214_WRS新卒全体ｽｹｼﾞｭｰﾙ_WRS新卒全体ｽｹｼﾞｭｰﾙ_提示版_ソフトSS概算見積_03062１営業修正_JITEC見積_03.10.1" xfId="1662" xr:uid="{00000000-0005-0000-0000-00009B060000}"/>
    <cellStyle name="見積-桁区切り_原価計画書(R-T社開発)_T社WRSサービス作業計画_020214_WRS新卒全体ｽｹｼﾞｭｰﾙ_WRS新卒全体ｽｹｼﾞｭｰﾙ_提示版_ソフトSS概算見積_03062１営業修正_JITEC見積_03.10.1" xfId="1663" xr:uid="{00000000-0005-0000-0000-00009C060000}"/>
    <cellStyle name="見積桁区切り_原価計画書(R-T社開発)_T社WRSサービス作業計画_020214_WRS新卒全体ｽｹｼﾞｭｰﾙ_WRS新卒全体ｽｹｼﾞｭｰﾙ_提示版_ソフトSS概算見積_03062１営業修正_JITEC見積_03.10.1_工数内訳" xfId="1664" xr:uid="{00000000-0005-0000-0000-00009D060000}"/>
    <cellStyle name="見積-桁区切り_原価計画書(R-T社開発)_T社WRSサービス作業計画_020214_WRS新卒全体ｽｹｼﾞｭｰﾙ_WRS新卒全体ｽｹｼﾞｭｰﾙ_提示版_ソフトSS概算見積_03062１営業修正_JITEC見積_03.10.1_工数内訳" xfId="1665" xr:uid="{00000000-0005-0000-0000-00009E060000}"/>
    <cellStyle name="見積桁区切り_原価計画書(R-T社開発)_T社WRSサービス作業計画_020214_WRS新卒全体ｽｹｼﾞｭｰﾙ_WRS新卒全体ｽｹｼﾞｭｰﾙ_提示版_ソフトSS概算見積_03062１営業修正_JITEC見積_03.9.28" xfId="1666" xr:uid="{00000000-0005-0000-0000-00009F060000}"/>
    <cellStyle name="見積-桁区切り_原価計画書(R-T社開発)_T社WRSサービス作業計画_020214_WRS新卒全体ｽｹｼﾞｭｰﾙ_WRS新卒全体ｽｹｼﾞｭｰﾙ_提示版_ソフトSS概算見積_03062１営業修正_JITEC見積_03.9.28" xfId="1667" xr:uid="{00000000-0005-0000-0000-0000A0060000}"/>
    <cellStyle name="見積桁区切り_原価計画書(R-T社開発)_T社WRSサービス作業計画_020214_WRS新卒全体ｽｹｼﾞｭｰﾙ_WRS新卒全体ｽｹｼﾞｭｰﾙ_提示版_ソフトSS概算見積_03062１営業修正_ソフトSS概算見" xfId="1668" xr:uid="{00000000-0005-0000-0000-0000A1060000}"/>
    <cellStyle name="見積-桁区切り_原価計画書(R-T社開発)_T社WRSサービス作業計画_020214_WRS新卒全体ｽｹｼﾞｭｰﾙ_WRS新卒全体ｽｹｼﾞｭｰﾙ_提示版_ソフトSS概算見積_03062１営業修正_ソフトSS概算見" xfId="1669" xr:uid="{00000000-0005-0000-0000-0000A2060000}"/>
    <cellStyle name="見積桁区切り_原価計画書(R-T社開発)_T社WRSサービス作業計画_020214_WRS新卒全体ｽｹｼﾞｭｰﾙ_WRS新卒全体ｽｹｼﾞｭｰﾙ_提示版_ソフトSS概算見積_03062１営業修正_ソフトSS概算見_＜3産2＞見積条件040127" xfId="1670" xr:uid="{00000000-0005-0000-0000-0000A3060000}"/>
    <cellStyle name="見積-桁区切り_原価計画書(R-T社開発)_T社WRSサービス作業計画_020214_WRS新卒全体ｽｹｼﾞｭｰﾙ_WRS新卒全体ｽｹｼﾞｭｰﾙ_提示版_ソフトSS概算見積_03062１営業修正_ソフトSS概算見_＜3産2＞見積条件040127" xfId="1671" xr:uid="{00000000-0005-0000-0000-0000A4060000}"/>
    <cellStyle name="見積桁区切り_原価計画書(R-T社開発)_T社WRSサービス作業計画_020214_WRS新卒全体ｽｹｼﾞｭｰﾙ_WRS新卒全体ｽｹｼﾞｭｰﾙ_提示版_ソフトSS概算見積_03062１営業修正_ソフトSS概算見_JITEC見積_03.10.1" xfId="1672" xr:uid="{00000000-0005-0000-0000-0000A5060000}"/>
    <cellStyle name="見積-桁区切り_原価計画書(R-T社開発)_T社WRSサービス作業計画_020214_WRS新卒全体ｽｹｼﾞｭｰﾙ_WRS新卒全体ｽｹｼﾞｭｰﾙ_提示版_ソフトSS概算見積_03062１営業修正_ソフトSS概算見_JITEC見積_03.10.1" xfId="1673" xr:uid="{00000000-0005-0000-0000-0000A6060000}"/>
    <cellStyle name="見積桁区切り_原価計画書(R-T社開発)_T社WRSサービス作業計画_020214_WRS新卒全体ｽｹｼﾞｭｰﾙ_WRS新卒全体ｽｹｼﾞｭｰﾙ_提示版_ソフトSS概算見積_03062１営業修正_ソフトSS概算見_JITEC見積_03.10.1_工数内訳" xfId="1674" xr:uid="{00000000-0005-0000-0000-0000A7060000}"/>
    <cellStyle name="見積-桁区切り_原価計画書(R-T社開発)_T社WRSサービス作業計画_020214_WRS新卒全体ｽｹｼﾞｭｰﾙ_WRS新卒全体ｽｹｼﾞｭｰﾙ_提示版_ソフトSS概算見積_03062１営業修正_ソフトSS概算見_JITEC見積_03.10.1_工数内訳" xfId="1675" xr:uid="{00000000-0005-0000-0000-0000A8060000}"/>
    <cellStyle name="見積桁区切り_原価計画書(R-T社開発)_T社WRSサービス作業計画_020214_WRS新卒全体ｽｹｼﾞｭｰﾙ_WRS新卒全体ｽｹｼﾞｭｰﾙ_提示版_ソフトSS概算見積_03062１営業修正_ソフトSS概算見_JITEC見積_03.9.28" xfId="1676" xr:uid="{00000000-0005-0000-0000-0000A9060000}"/>
    <cellStyle name="見積-桁区切り_原価計画書(R-T社開発)_T社WRSサービス作業計画_020214_WRS新卒全体ｽｹｼﾞｭｰﾙ_WRS新卒全体ｽｹｼﾞｭｰﾙ_提示版_ソフトSS概算見積_03062１営業修正_ソフトSS概算見_JITEC見積_03.9.28" xfId="1677" xr:uid="{00000000-0005-0000-0000-0000AA060000}"/>
    <cellStyle name="見積桁区切り_原価計画書(R-T社開発)_T社WRSサービス作業計画_020214_WRS新卒全体ｽｹｼﾞｭｰﾙ_WRS新卒全体ｽｹｼﾞｭｰﾙ_提示版_ソフトSS概算見積_03062１営業修正_ソフトSS概算見_開発見積" xfId="1678" xr:uid="{00000000-0005-0000-0000-0000AB060000}"/>
    <cellStyle name="見積-桁区切り_原価計画書(R-T社開発)_T社WRSサービス作業計画_020214_WRS新卒全体ｽｹｼﾞｭｰﾙ_WRS新卒全体ｽｹｼﾞｭｰﾙ_提示版_ソフトSS概算見積_03062１営業修正_ソフトSS概算見_開発見積" xfId="1679" xr:uid="{00000000-0005-0000-0000-0000AC060000}"/>
    <cellStyle name="見積桁区切り_原価計画書(R-T社開発)_T社WRSサービス作業計画_020214_WRS新卒全体ｽｹｼﾞｭｰﾙ_WRS新卒全体ｽｹｼﾞｭｰﾙ_提示版_ソフトSS概算見積_03062１営業修正_開発見積" xfId="1680" xr:uid="{00000000-0005-0000-0000-0000AD060000}"/>
    <cellStyle name="見積-桁区切り_原価計画書(R-T社開発)_T社WRSサービス作業計画_020214_WRS新卒全体ｽｹｼﾞｭｰﾙ_WRS新卒全体ｽｹｼﾞｭｰﾙ_提示版_ソフトSS概算見積_03062１営業修正_開発見積" xfId="1681" xr:uid="{00000000-0005-0000-0000-0000AE060000}"/>
    <cellStyle name="見積桁区切り_原価計画書(R-T社開発)_T社WRSサービス作業計画_020214_WRS新卒全体ｽｹｼﾞｭｰﾙ_WRS新卒全体ｽｹｼﾞｭｰﾙ_提示版_ソフトSS概算見積_030627" xfId="1682" xr:uid="{00000000-0005-0000-0000-0000AF060000}"/>
    <cellStyle name="見積-桁区切り_原価計画書(R-T社開発)_T社WRSサービス作業計画_020214_WRS新卒全体ｽｹｼﾞｭｰﾙ_WRS新卒全体ｽｹｼﾞｭｰﾙ_提示版_ソフトSS概算見積_030627" xfId="1683" xr:uid="{00000000-0005-0000-0000-0000B0060000}"/>
    <cellStyle name="見積桁区切り_原価計画書(R-T社開発)_T社WRSサービス作業計画_020214_WRS新卒全体ｽｹｼﾞｭｰﾙ_WRS新卒全体ｽｹｼﾞｭｰﾙ_提示版_開発見積" xfId="1684" xr:uid="{00000000-0005-0000-0000-0000B1060000}"/>
    <cellStyle name="見積-桁区切り_原価計画書(R-T社開発)_T社WRSサービス作業計画_020214_WRS新卒全体ｽｹｼﾞｭｰﾙ_WRS新卒全体ｽｹｼﾞｭｰﾙ_提示版_開発見積" xfId="1685" xr:uid="{00000000-0005-0000-0000-0000B2060000}"/>
    <cellStyle name="見積桁区切り_原価計画書(R-T社開発)_T社WRSサービス作業計画_020214_WRS新卒全体ｽｹｼﾞｭｰﾙ_WRS新卒全体ｽｹｼﾞｭｰﾙ_提示版_自治体向けｻｲﾄ構築機能整理表_Ver2" xfId="1686" xr:uid="{00000000-0005-0000-0000-0000B3060000}"/>
    <cellStyle name="見積-桁区切り_原価計画書(R-T社開発)_T社WRSサービス作業計画_020214_WRS新卒全体ｽｹｼﾞｭｰﾙ_WRS新卒全体ｽｹｼﾞｭｰﾙ_提示版_自治体向けｻｲﾄ構築機能整理表_Ver2" xfId="1687" xr:uid="{00000000-0005-0000-0000-0000B4060000}"/>
    <cellStyle name="見積桁区切り_原価計画書(R-T社開発)_T社WRSサービス作業計画_020214_WRS新卒全体ｽｹｼﾞｭｰﾙ_ソフトSS概算見積_030620" xfId="1688" xr:uid="{00000000-0005-0000-0000-0000B5060000}"/>
    <cellStyle name="見積-桁区切り_原価計画書(R-T社開発)_T社WRSサービス作業計画_020214_WRS新卒全体ｽｹｼﾞｭｰﾙ_ソフトSS概算見積_030620" xfId="1689" xr:uid="{00000000-0005-0000-0000-0000B6060000}"/>
    <cellStyle name="見積桁区切り_原価計画書(R-T社開発)_T社WRSサービス作業計画_020214_WRS新卒全体ｽｹｼﾞｭｰﾙ_ソフトSS概算見積_030620_＜3産2＞見積条件040127" xfId="1690" xr:uid="{00000000-0005-0000-0000-0000B7060000}"/>
    <cellStyle name="見積-桁区切り_原価計画書(R-T社開発)_T社WRSサービス作業計画_020214_WRS新卒全体ｽｹｼﾞｭｰﾙ_ソフトSS概算見積_030620_＜3産2＞見積条件040127" xfId="1691" xr:uid="{00000000-0005-0000-0000-0000B8060000}"/>
    <cellStyle name="見積桁区切り_原価計画書(R-T社開発)_T社WRSサービス作業計画_020214_WRS新卒全体ｽｹｼﾞｭｰﾙ_ソフトSS概算見積_030620_1" xfId="1692" xr:uid="{00000000-0005-0000-0000-0000B9060000}"/>
    <cellStyle name="見積-桁区切り_原価計画書(R-T社開発)_T社WRSサービス作業計画_020214_WRS新卒全体ｽｹｼﾞｭｰﾙ_ソフトSS概算見積_030620_1" xfId="1693" xr:uid="{00000000-0005-0000-0000-0000BA060000}"/>
    <cellStyle name="見積桁区切り_原価計画書(R-T社開発)_T社WRSサービス作業計画_020214_WRS新卒全体ｽｹｼﾞｭｰﾙ_ソフトSS概算見積_030620_JITEC見積_03.10.1" xfId="1694" xr:uid="{00000000-0005-0000-0000-0000BB060000}"/>
    <cellStyle name="見積-桁区切り_原価計画書(R-T社開発)_T社WRSサービス作業計画_020214_WRS新卒全体ｽｹｼﾞｭｰﾙ_ソフトSS概算見積_030620_JITEC見積_03.10.1" xfId="1695" xr:uid="{00000000-0005-0000-0000-0000BC060000}"/>
    <cellStyle name="見積桁区切り_原価計画書(R-T社開発)_T社WRSサービス作業計画_020214_WRS新卒全体ｽｹｼﾞｭｰﾙ_ソフトSS概算見積_030620_JITEC見積_03.10.1_工数内訳" xfId="1696" xr:uid="{00000000-0005-0000-0000-0000BD060000}"/>
    <cellStyle name="見積-桁区切り_原価計画書(R-T社開発)_T社WRSサービス作業計画_020214_WRS新卒全体ｽｹｼﾞｭｰﾙ_ソフトSS概算見積_030620_JITEC見積_03.10.1_工数内訳" xfId="1697" xr:uid="{00000000-0005-0000-0000-0000BE060000}"/>
    <cellStyle name="見積桁区切り_原価計画書(R-T社開発)_T社WRSサービス作業計画_020214_WRS新卒全体ｽｹｼﾞｭｰﾙ_ソフトSS概算見積_030620_JITEC見積_03.9.28" xfId="1698" xr:uid="{00000000-0005-0000-0000-0000BF060000}"/>
    <cellStyle name="見積-桁区切り_原価計画書(R-T社開発)_T社WRSサービス作業計画_020214_WRS新卒全体ｽｹｼﾞｭｰﾙ_ソフトSS概算見積_030620_JITEC見積_03.9.28" xfId="1699" xr:uid="{00000000-0005-0000-0000-0000C0060000}"/>
    <cellStyle name="見積桁区切り_原価計画書(R-T社開発)_T社WRSサービス作業計画_020214_WRS新卒全体ｽｹｼﾞｭｰﾙ_ソフトSS概算見積_030620_ソフトSS概算見" xfId="1700" xr:uid="{00000000-0005-0000-0000-0000C1060000}"/>
    <cellStyle name="見積-桁区切り_原価計画書(R-T社開発)_T社WRSサービス作業計画_020214_WRS新卒全体ｽｹｼﾞｭｰﾙ_ソフトSS概算見積_030620_ソフトSS概算見" xfId="1701" xr:uid="{00000000-0005-0000-0000-0000C2060000}"/>
    <cellStyle name="見積桁区切り_原価計画書(R-T社開発)_T社WRSサービス作業計画_020214_WRS新卒全体ｽｹｼﾞｭｰﾙ_ソフトSS概算見積_030620_ソフトSS概算見_＜3産2＞見積条件040127" xfId="1702" xr:uid="{00000000-0005-0000-0000-0000C3060000}"/>
    <cellStyle name="見積-桁区切り_原価計画書(R-T社開発)_T社WRSサービス作業計画_020214_WRS新卒全体ｽｹｼﾞｭｰﾙ_ソフトSS概算見積_030620_ソフトSS概算見_＜3産2＞見積条件040127" xfId="1703" xr:uid="{00000000-0005-0000-0000-0000C4060000}"/>
    <cellStyle name="見積桁区切り_原価計画書(R-T社開発)_T社WRSサービス作業計画_020214_WRS新卒全体ｽｹｼﾞｭｰﾙ_ソフトSS概算見積_030620_ソフトSS概算見_JITEC見積_03.10.1" xfId="1704" xr:uid="{00000000-0005-0000-0000-0000C5060000}"/>
    <cellStyle name="見積-桁区切り_原価計画書(R-T社開発)_T社WRSサービス作業計画_020214_WRS新卒全体ｽｹｼﾞｭｰﾙ_ソフトSS概算見積_030620_ソフトSS概算見_JITEC見積_03.10.1" xfId="1705" xr:uid="{00000000-0005-0000-0000-0000C6060000}"/>
    <cellStyle name="見積桁区切り_原価計画書(R-T社開発)_T社WRSサービス作業計画_020214_WRS新卒全体ｽｹｼﾞｭｰﾙ_ソフトSS概算見積_030620_ソフトSS概算見_JITEC見積_03.10.1_工数内訳" xfId="1706" xr:uid="{00000000-0005-0000-0000-0000C7060000}"/>
    <cellStyle name="見積-桁区切り_原価計画書(R-T社開発)_T社WRSサービス作業計画_020214_WRS新卒全体ｽｹｼﾞｭｰﾙ_ソフトSS概算見積_030620_ソフトSS概算見_JITEC見積_03.10.1_工数内訳" xfId="1707" xr:uid="{00000000-0005-0000-0000-0000C8060000}"/>
    <cellStyle name="見積桁区切り_原価計画書(R-T社開発)_T社WRSサービス作業計画_020214_WRS新卒全体ｽｹｼﾞｭｰﾙ_ソフトSS概算見積_030620_ソフトSS概算見_JITEC見積_03.9.28" xfId="1708" xr:uid="{00000000-0005-0000-0000-0000C9060000}"/>
    <cellStyle name="見積-桁区切り_原価計画書(R-T社開発)_T社WRSサービス作業計画_020214_WRS新卒全体ｽｹｼﾞｭｰﾙ_ソフトSS概算見積_030620_ソフトSS概算見_JITEC見積_03.9.28" xfId="1709" xr:uid="{00000000-0005-0000-0000-0000CA060000}"/>
    <cellStyle name="見積桁区切り_原価計画書(R-T社開発)_T社WRSサービス作業計画_020214_WRS新卒全体ｽｹｼﾞｭｰﾙ_ソフトSS概算見積_030620_ソフトSS概算見_開発見積" xfId="1710" xr:uid="{00000000-0005-0000-0000-0000CB060000}"/>
    <cellStyle name="見積-桁区切り_原価計画書(R-T社開発)_T社WRSサービス作業計画_020214_WRS新卒全体ｽｹｼﾞｭｰﾙ_ソフトSS概算見積_030620_ソフトSS概算見_開発見積" xfId="1711" xr:uid="{00000000-0005-0000-0000-0000CC060000}"/>
    <cellStyle name="見積桁区切り_原価計画書(R-T社開発)_T社WRSサービス作業計画_020214_WRS新卒全体ｽｹｼﾞｭｰﾙ_ソフトSS概算見積_030620_ソフトSS概算見積_030620" xfId="1712" xr:uid="{00000000-0005-0000-0000-0000CD060000}"/>
    <cellStyle name="見積-桁区切り_原価計画書(R-T社開発)_T社WRSサービス作業計画_020214_WRS新卒全体ｽｹｼﾞｭｰﾙ_ソフトSS概算見積_030620_ソフトSS概算見積_030620" xfId="1713" xr:uid="{00000000-0005-0000-0000-0000CE060000}"/>
    <cellStyle name="見積桁区切り_原価計画書(R-T社開発)_T社WRSサービス作業計画_020214_WRS新卒全体ｽｹｼﾞｭｰﾙ_ソフトSS概算見積_030620_ソフトSS概算見積_030627" xfId="1714" xr:uid="{00000000-0005-0000-0000-0000CF060000}"/>
    <cellStyle name="見積-桁区切り_原価計画書(R-T社開発)_T社WRSサービス作業計画_020214_WRS新卒全体ｽｹｼﾞｭｰﾙ_ソフトSS概算見積_030620_ソフトSS概算見積_030627" xfId="1715" xr:uid="{00000000-0005-0000-0000-0000D0060000}"/>
    <cellStyle name="見積桁区切り_原価計画書(R-T社開発)_T社WRSサービス作業計画_020214_WRS新卒全体ｽｹｼﾞｭｰﾙ_ソフトSS概算見積_030620_ソフトSS概算見積_030627_＜3産2＞見積条件040127" xfId="1716" xr:uid="{00000000-0005-0000-0000-0000D1060000}"/>
    <cellStyle name="見積-桁区切り_原価計画書(R-T社開発)_T社WRSサービス作業計画_020214_WRS新卒全体ｽｹｼﾞｭｰﾙ_ソフトSS概算見積_030620_ソフトSS概算見積_030627_＜3産2＞見積条件040127" xfId="1717" xr:uid="{00000000-0005-0000-0000-0000D2060000}"/>
    <cellStyle name="見積桁区切り_原価計画書(R-T社開発)_T社WRSサービス作業計画_020214_WRS新卒全体ｽｹｼﾞｭｰﾙ_ソフトSS概算見積_030620_ソフトSS概算見積_030627_1" xfId="1718" xr:uid="{00000000-0005-0000-0000-0000D3060000}"/>
    <cellStyle name="見積-桁区切り_原価計画書(R-T社開発)_T社WRSサービス作業計画_020214_WRS新卒全体ｽｹｼﾞｭｰﾙ_ソフトSS概算見積_030620_ソフトSS概算見積_030627_1" xfId="1719" xr:uid="{00000000-0005-0000-0000-0000D4060000}"/>
    <cellStyle name="見積桁区切り_原価計画書(R-T社開発)_T社WRSサービス作業計画_020214_WRS新卒全体ｽｹｼﾞｭｰﾙ_ソフトSS概算見積_030620_ソフトSS概算見積_030627_JITEC見積_03.10.1" xfId="1720" xr:uid="{00000000-0005-0000-0000-0000D5060000}"/>
    <cellStyle name="見積-桁区切り_原価計画書(R-T社開発)_T社WRSサービス作業計画_020214_WRS新卒全体ｽｹｼﾞｭｰﾙ_ソフトSS概算見積_030620_ソフトSS概算見積_030627_JITEC見積_03.10.1" xfId="1721" xr:uid="{00000000-0005-0000-0000-0000D6060000}"/>
    <cellStyle name="見積桁区切り_原価計画書(R-T社開発)_T社WRSサービス作業計画_020214_WRS新卒全体ｽｹｼﾞｭｰﾙ_ソフトSS概算見積_030620_ソフトSS概算見積_030627_JITEC見積_03.10.1_工数内訳" xfId="1722" xr:uid="{00000000-0005-0000-0000-0000D7060000}"/>
    <cellStyle name="見積-桁区切り_原価計画書(R-T社開発)_T社WRSサービス作業計画_020214_WRS新卒全体ｽｹｼﾞｭｰﾙ_ソフトSS概算見積_030620_ソフトSS概算見積_030627_JITEC見積_03.10.1_工数内訳" xfId="1723" xr:uid="{00000000-0005-0000-0000-0000D8060000}"/>
    <cellStyle name="見積桁区切り_原価計画書(R-T社開発)_T社WRSサービス作業計画_020214_WRS新卒全体ｽｹｼﾞｭｰﾙ_ソフトSS概算見積_030620_ソフトSS概算見積_030627_JITEC見積_03.9.28" xfId="1724" xr:uid="{00000000-0005-0000-0000-0000D9060000}"/>
    <cellStyle name="見積-桁区切り_原価計画書(R-T社開発)_T社WRSサービス作業計画_020214_WRS新卒全体ｽｹｼﾞｭｰﾙ_ソフトSS概算見積_030620_ソフトSS概算見積_030627_JITEC見積_03.9.28" xfId="1725" xr:uid="{00000000-0005-0000-0000-0000DA060000}"/>
    <cellStyle name="見積桁区切り_原価計画書(R-T社開発)_T社WRSサービス作業計画_020214_WRS新卒全体ｽｹｼﾞｭｰﾙ_ソフトSS概算見積_030620_ソフトSS概算見積_030627_ソフトSS概算見積_030627" xfId="1726" xr:uid="{00000000-0005-0000-0000-0000DB060000}"/>
    <cellStyle name="見積-桁区切り_原価計画書(R-T社開発)_T社WRSサービス作業計画_020214_WRS新卒全体ｽｹｼﾞｭｰﾙ_ソフトSS概算見積_030620_ソフトSS概算見積_030627_ソフトSS概算見積_030627" xfId="1727" xr:uid="{00000000-0005-0000-0000-0000DC060000}"/>
    <cellStyle name="見積桁区切り_原価計画書(R-T社開発)_T社WRSサービス作業計画_020214_WRS新卒全体ｽｹｼﾞｭｰﾙ_ソフトSS概算見積_030620_ソフトSS概算見積_030627_開発見積" xfId="1728" xr:uid="{00000000-0005-0000-0000-0000DD060000}"/>
    <cellStyle name="見積-桁区切り_原価計画書(R-T社開発)_T社WRSサービス作業計画_020214_WRS新卒全体ｽｹｼﾞｭｰﾙ_ソフトSS概算見積_030620_ソフトSS概算見積_030627_開発見積" xfId="1729" xr:uid="{00000000-0005-0000-0000-0000DE060000}"/>
    <cellStyle name="見積桁区切り_原価計画書(R-T社開発)_T社WRSサービス作業計画_020214_WRS新卒全体ｽｹｼﾞｭｰﾙ_ソフトSS概算見積_030620_開発見積" xfId="1730" xr:uid="{00000000-0005-0000-0000-0000DF060000}"/>
    <cellStyle name="見積-桁区切り_原価計画書(R-T社開発)_T社WRSサービス作業計画_020214_WRS新卒全体ｽｹｼﾞｭｰﾙ_ソフトSS概算見積_030620_開発見積" xfId="1731" xr:uid="{00000000-0005-0000-0000-0000E0060000}"/>
    <cellStyle name="見積桁区切り_原価計画書(R-T社開発)_T社WRSサービス作業計画_020214_WRS新卒全体ｽｹｼﾞｭｰﾙ_ソフトSS概算見積_03062１営業修正" xfId="1732" xr:uid="{00000000-0005-0000-0000-0000E1060000}"/>
    <cellStyle name="見積-桁区切り_原価計画書(R-T社開発)_T社WRSサービス作業計画_020214_WRS新卒全体ｽｹｼﾞｭｰﾙ_ソフトSS概算見積_03062１営業修正" xfId="1733" xr:uid="{00000000-0005-0000-0000-0000E2060000}"/>
    <cellStyle name="見積桁区切り_原価計画書(R-T社開発)_T社WRSサービス作業計画_020214_WRS新卒全体ｽｹｼﾞｭｰﾙ_ソフトSS概算見積_03062１営業修正_＜3産2＞見積条件040127" xfId="1734" xr:uid="{00000000-0005-0000-0000-0000E3060000}"/>
    <cellStyle name="見積-桁区切り_原価計画書(R-T社開発)_T社WRSサービス作業計画_020214_WRS新卒全体ｽｹｼﾞｭｰﾙ_ソフトSS概算見積_03062１営業修正_＜3産2＞見積条件040127" xfId="1735" xr:uid="{00000000-0005-0000-0000-0000E4060000}"/>
    <cellStyle name="見積桁区切り_原価計画書(R-T社開発)_T社WRSサービス作業計画_020214_WRS新卒全体ｽｹｼﾞｭｰﾙ_ソフトSS概算見積_03062１営業修正_JITEC見積_03.10.1" xfId="1736" xr:uid="{00000000-0005-0000-0000-0000E5060000}"/>
    <cellStyle name="見積-桁区切り_原価計画書(R-T社開発)_T社WRSサービス作業計画_020214_WRS新卒全体ｽｹｼﾞｭｰﾙ_ソフトSS概算見積_03062１営業修正_JITEC見積_03.10.1" xfId="1737" xr:uid="{00000000-0005-0000-0000-0000E6060000}"/>
    <cellStyle name="見積桁区切り_原価計画書(R-T社開発)_T社WRSサービス作業計画_020214_WRS新卒全体ｽｹｼﾞｭｰﾙ_ソフトSS概算見積_03062１営業修正_JITEC見積_03.10.1_工数内訳" xfId="1738" xr:uid="{00000000-0005-0000-0000-0000E7060000}"/>
    <cellStyle name="見積-桁区切り_原価計画書(R-T社開発)_T社WRSサービス作業計画_020214_WRS新卒全体ｽｹｼﾞｭｰﾙ_ソフトSS概算見積_03062１営業修正_JITEC見積_03.10.1_工数内訳" xfId="1739" xr:uid="{00000000-0005-0000-0000-0000E8060000}"/>
    <cellStyle name="見積桁区切り_原価計画書(R-T社開発)_T社WRSサービス作業計画_020214_WRS新卒全体ｽｹｼﾞｭｰﾙ_ソフトSS概算見積_03062１営業修正_JITEC見積_03.9.28" xfId="1740" xr:uid="{00000000-0005-0000-0000-0000E9060000}"/>
    <cellStyle name="見積-桁区切り_原価計画書(R-T社開発)_T社WRSサービス作業計画_020214_WRS新卒全体ｽｹｼﾞｭｰﾙ_ソフトSS概算見積_03062１営業修正_JITEC見積_03.9.28" xfId="1741" xr:uid="{00000000-0005-0000-0000-0000EA060000}"/>
    <cellStyle name="見積桁区切り_原価計画書(R-T社開発)_T社WRSサービス作業計画_020214_WRS新卒全体ｽｹｼﾞｭｰﾙ_ソフトSS概算見積_03062１営業修正_ソフトSS概算見" xfId="1742" xr:uid="{00000000-0005-0000-0000-0000EB060000}"/>
    <cellStyle name="見積-桁区切り_原価計画書(R-T社開発)_T社WRSサービス作業計画_020214_WRS新卒全体ｽｹｼﾞｭｰﾙ_ソフトSS概算見積_03062１営業修正_ソフトSS概算見" xfId="1743" xr:uid="{00000000-0005-0000-0000-0000EC060000}"/>
    <cellStyle name="見積桁区切り_原価計画書(R-T社開発)_T社WRSサービス作業計画_020214_WRS新卒全体ｽｹｼﾞｭｰﾙ_ソフトSS概算見積_03062１営業修正_ソフトSS概算見_＜3産2＞見積条件040127" xfId="1744" xr:uid="{00000000-0005-0000-0000-0000ED060000}"/>
    <cellStyle name="見積-桁区切り_原価計画書(R-T社開発)_T社WRSサービス作業計画_020214_WRS新卒全体ｽｹｼﾞｭｰﾙ_ソフトSS概算見積_03062１営業修正_ソフトSS概算見_＜3産2＞見積条件040127" xfId="1745" xr:uid="{00000000-0005-0000-0000-0000EE060000}"/>
    <cellStyle name="見積桁区切り_原価計画書(R-T社開発)_T社WRSサービス作業計画_020214_WRS新卒全体ｽｹｼﾞｭｰﾙ_ソフトSS概算見積_03062１営業修正_ソフトSS概算見_JITEC見積_03.10.1" xfId="1746" xr:uid="{00000000-0005-0000-0000-0000EF060000}"/>
    <cellStyle name="見積-桁区切り_原価計画書(R-T社開発)_T社WRSサービス作業計画_020214_WRS新卒全体ｽｹｼﾞｭｰﾙ_ソフトSS概算見積_03062１営業修正_ソフトSS概算見_JITEC見積_03.10.1" xfId="1747" xr:uid="{00000000-0005-0000-0000-0000F0060000}"/>
    <cellStyle name="見積桁区切り_原価計画書(R-T社開発)_T社WRSサービス作業計画_020214_WRS新卒全体ｽｹｼﾞｭｰﾙ_ソフトSS概算見積_03062１営業修正_ソフトSS概算見_JITEC見積_03.10.1_工数内訳" xfId="1748" xr:uid="{00000000-0005-0000-0000-0000F1060000}"/>
    <cellStyle name="見積-桁区切り_原価計画書(R-T社開発)_T社WRSサービス作業計画_020214_WRS新卒全体ｽｹｼﾞｭｰﾙ_ソフトSS概算見積_03062１営業修正_ソフトSS概算見_JITEC見積_03.10.1_工数内訳" xfId="1749" xr:uid="{00000000-0005-0000-0000-0000F2060000}"/>
    <cellStyle name="見積桁区切り_原価計画書(R-T社開発)_T社WRSサービス作業計画_020214_WRS新卒全体ｽｹｼﾞｭｰﾙ_ソフトSS概算見積_03062１営業修正_ソフトSS概算見_JITEC見積_03.9.28" xfId="1750" xr:uid="{00000000-0005-0000-0000-0000F3060000}"/>
    <cellStyle name="見積-桁区切り_原価計画書(R-T社開発)_T社WRSサービス作業計画_020214_WRS新卒全体ｽｹｼﾞｭｰﾙ_ソフトSS概算見積_03062１営業修正_ソフトSS概算見_JITEC見積_03.9.28" xfId="1751" xr:uid="{00000000-0005-0000-0000-0000F4060000}"/>
    <cellStyle name="見積桁区切り_原価計画書(R-T社開発)_T社WRSサービス作業計画_020214_WRS新卒全体ｽｹｼﾞｭｰﾙ_ソフトSS概算見積_03062１営業修正_ソフトSS概算見_開発見積" xfId="1752" xr:uid="{00000000-0005-0000-0000-0000F5060000}"/>
    <cellStyle name="見積-桁区切り_原価計画書(R-T社開発)_T社WRSサービス作業計画_020214_WRS新卒全体ｽｹｼﾞｭｰﾙ_ソフトSS概算見積_03062１営業修正_ソフトSS概算見_開発見積" xfId="1753" xr:uid="{00000000-0005-0000-0000-0000F6060000}"/>
    <cellStyle name="見積桁区切り_原価計画書(R-T社開発)_T社WRSサービス作業計画_020214_WRS新卒全体ｽｹｼﾞｭｰﾙ_ソフトSS概算見積_03062１営業修正_開発見積" xfId="1754" xr:uid="{00000000-0005-0000-0000-0000F7060000}"/>
    <cellStyle name="見積-桁区切り_原価計画書(R-T社開発)_T社WRSサービス作業計画_020214_WRS新卒全体ｽｹｼﾞｭｰﾙ_ソフトSS概算見積_03062１営業修正_開発見積" xfId="1755" xr:uid="{00000000-0005-0000-0000-0000F8060000}"/>
    <cellStyle name="見積桁区切り_原価計画書(R-T社開発)_T社WRSサービス作業計画_020214_WRS新卒全体ｽｹｼﾞｭｰﾙ_ソフトSS概算見積_030627" xfId="1756" xr:uid="{00000000-0005-0000-0000-0000F9060000}"/>
    <cellStyle name="見積-桁区切り_原価計画書(R-T社開発)_T社WRSサービス作業計画_020214_WRS新卒全体ｽｹｼﾞｭｰﾙ_ソフトSS概算見積_030627" xfId="1757" xr:uid="{00000000-0005-0000-0000-0000FA060000}"/>
    <cellStyle name="見積桁区切り_原価計画書(R-T社開発)_T社WRSサービス作業計画_020214_WRS新卒全体ｽｹｼﾞｭｰﾙ_開発見積" xfId="1758" xr:uid="{00000000-0005-0000-0000-0000FB060000}"/>
    <cellStyle name="見積-桁区切り_原価計画書(R-T社開発)_T社WRSサービス作業計画_020214_WRS新卒全体ｽｹｼﾞｭｰﾙ_開発見積" xfId="1759" xr:uid="{00000000-0005-0000-0000-0000FC060000}"/>
    <cellStyle name="見積桁区切り_原価計画書(R-T社開発)_T社WRSサービス作業計画_020214_WRS新卒全体ｽｹｼﾞｭｰﾙ_自治体向けｻｲﾄ構築機能整理表_Ver2" xfId="1760" xr:uid="{00000000-0005-0000-0000-0000FD060000}"/>
    <cellStyle name="見積-桁区切り_原価計画書(R-T社開発)_T社WRSサービス作業計画_020214_WRS新卒全体ｽｹｼﾞｭｰﾙ_自治体向けｻｲﾄ構築機能整理表_Ver2" xfId="1761" xr:uid="{00000000-0005-0000-0000-0000FE060000}"/>
    <cellStyle name="見積桁区切り_原価計画書(R-T社開発)_T社WRSサービス作業計画_020214_ソフトSS概算見積_030620" xfId="1762" xr:uid="{00000000-0005-0000-0000-0000FF060000}"/>
    <cellStyle name="見積-桁区切り_原価計画書(R-T社開発)_T社WRSサービス作業計画_020214_ソフトSS概算見積_030620" xfId="1763" xr:uid="{00000000-0005-0000-0000-000000070000}"/>
    <cellStyle name="見積桁区切り_原価計画書(R-T社開発)_T社WRSサービス作業計画_020214_ソフトSS概算見積_030620_＜3産2＞見積条件040127" xfId="1764" xr:uid="{00000000-0005-0000-0000-000001070000}"/>
    <cellStyle name="見積-桁区切り_原価計画書(R-T社開発)_T社WRSサービス作業計画_020214_ソフトSS概算見積_030620_＜3産2＞見積条件040127" xfId="1765" xr:uid="{00000000-0005-0000-0000-000002070000}"/>
    <cellStyle name="見積桁区切り_原価計画書(R-T社開発)_T社WRSサービス作業計画_020214_ソフトSS概算見積_030620_1" xfId="1766" xr:uid="{00000000-0005-0000-0000-000003070000}"/>
    <cellStyle name="見積-桁区切り_原価計画書(R-T社開発)_T社WRSサービス作業計画_020214_ソフトSS概算見積_030620_1" xfId="1767" xr:uid="{00000000-0005-0000-0000-000004070000}"/>
    <cellStyle name="見積桁区切り_原価計画書(R-T社開発)_T社WRSサービス作業計画_020214_ソフトSS概算見積_030620_JITEC見積_03.10.1" xfId="1768" xr:uid="{00000000-0005-0000-0000-000005070000}"/>
    <cellStyle name="見積-桁区切り_原価計画書(R-T社開発)_T社WRSサービス作業計画_020214_ソフトSS概算見積_030620_JITEC見積_03.10.1" xfId="1769" xr:uid="{00000000-0005-0000-0000-000006070000}"/>
    <cellStyle name="見積桁区切り_原価計画書(R-T社開発)_T社WRSサービス作業計画_020214_ソフトSS概算見積_030620_JITEC見積_03.10.1_工数内訳" xfId="1770" xr:uid="{00000000-0005-0000-0000-000007070000}"/>
    <cellStyle name="見積-桁区切り_原価計画書(R-T社開発)_T社WRSサービス作業計画_020214_ソフトSS概算見積_030620_JITEC見積_03.10.1_工数内訳" xfId="1771" xr:uid="{00000000-0005-0000-0000-000008070000}"/>
    <cellStyle name="見積桁区切り_原価計画書(R-T社開発)_T社WRSサービス作業計画_020214_ソフトSS概算見積_030620_JITEC見積_03.9.28" xfId="1772" xr:uid="{00000000-0005-0000-0000-000009070000}"/>
    <cellStyle name="見積-桁区切り_原価計画書(R-T社開発)_T社WRSサービス作業計画_020214_ソフトSS概算見積_030620_JITEC見積_03.9.28" xfId="1773" xr:uid="{00000000-0005-0000-0000-00000A070000}"/>
    <cellStyle name="見積桁区切り_原価計画書(R-T社開発)_T社WRSサービス作業計画_020214_ソフトSS概算見積_030620_ソフトSS概算見" xfId="1774" xr:uid="{00000000-0005-0000-0000-00000B070000}"/>
    <cellStyle name="見積-桁区切り_原価計画書(R-T社開発)_T社WRSサービス作業計画_020214_ソフトSS概算見積_030620_ソフトSS概算見" xfId="1775" xr:uid="{00000000-0005-0000-0000-00000C070000}"/>
    <cellStyle name="見積桁区切り_原価計画書(R-T社開発)_T社WRSサービス作業計画_020214_ソフトSS概算見積_030620_ソフトSS概算見_＜3産2＞見積条件040127" xfId="1776" xr:uid="{00000000-0005-0000-0000-00000D070000}"/>
    <cellStyle name="見積-桁区切り_原価計画書(R-T社開発)_T社WRSサービス作業計画_020214_ソフトSS概算見積_030620_ソフトSS概算見_＜3産2＞見積条件040127" xfId="1777" xr:uid="{00000000-0005-0000-0000-00000E070000}"/>
    <cellStyle name="見積桁区切り_原価計画書(R-T社開発)_T社WRSサービス作業計画_020214_ソフトSS概算見積_030620_ソフトSS概算見_JITEC見積_03.10.1" xfId="1778" xr:uid="{00000000-0005-0000-0000-00000F070000}"/>
    <cellStyle name="見積-桁区切り_原価計画書(R-T社開発)_T社WRSサービス作業計画_020214_ソフトSS概算見積_030620_ソフトSS概算見_JITEC見積_03.10.1" xfId="1779" xr:uid="{00000000-0005-0000-0000-000010070000}"/>
    <cellStyle name="見積桁区切り_原価計画書(R-T社開発)_T社WRSサービス作業計画_020214_ソフトSS概算見積_030620_ソフトSS概算見_JITEC見積_03.10.1_工数内訳" xfId="1780" xr:uid="{00000000-0005-0000-0000-000011070000}"/>
    <cellStyle name="見積-桁区切り_原価計画書(R-T社開発)_T社WRSサービス作業計画_020214_ソフトSS概算見積_030620_ソフトSS概算見_JITEC見積_03.10.1_工数内訳" xfId="1781" xr:uid="{00000000-0005-0000-0000-000012070000}"/>
    <cellStyle name="見積桁区切り_原価計画書(R-T社開発)_T社WRSサービス作業計画_020214_ソフトSS概算見積_030620_ソフトSS概算見_JITEC見積_03.9.28" xfId="1782" xr:uid="{00000000-0005-0000-0000-000013070000}"/>
    <cellStyle name="見積-桁区切り_原価計画書(R-T社開発)_T社WRSサービス作業計画_020214_ソフトSS概算見積_030620_ソフトSS概算見_JITEC見積_03.9.28" xfId="1783" xr:uid="{00000000-0005-0000-0000-000014070000}"/>
    <cellStyle name="見積桁区切り_原価計画書(R-T社開発)_T社WRSサービス作業計画_020214_ソフトSS概算見積_030620_ソフトSS概算見_開発見積" xfId="1784" xr:uid="{00000000-0005-0000-0000-000015070000}"/>
    <cellStyle name="見積-桁区切り_原価計画書(R-T社開発)_T社WRSサービス作業計画_020214_ソフトSS概算見積_030620_ソフトSS概算見_開発見積" xfId="1785" xr:uid="{00000000-0005-0000-0000-000016070000}"/>
    <cellStyle name="見積桁区切り_原価計画書(R-T社開発)_T社WRSサービス作業計画_020214_ソフトSS概算見積_030620_ソフトSS概算見積_030620" xfId="1786" xr:uid="{00000000-0005-0000-0000-000017070000}"/>
    <cellStyle name="見積-桁区切り_原価計画書(R-T社開発)_T社WRSサービス作業計画_020214_ソフトSS概算見積_030620_ソフトSS概算見積_030620" xfId="1787" xr:uid="{00000000-0005-0000-0000-000018070000}"/>
    <cellStyle name="見積桁区切り_原価計画書(R-T社開発)_T社WRSサービス作業計画_020214_ソフトSS概算見積_030620_ソフトSS概算見積_030627" xfId="1788" xr:uid="{00000000-0005-0000-0000-000019070000}"/>
    <cellStyle name="見積-桁区切り_原価計画書(R-T社開発)_T社WRSサービス作業計画_020214_ソフトSS概算見積_030620_ソフトSS概算見積_030627" xfId="1789" xr:uid="{00000000-0005-0000-0000-00001A070000}"/>
    <cellStyle name="見積桁区切り_原価計画書(R-T社開発)_T社WRSサービス作業計画_020214_ソフトSS概算見積_030620_ソフトSS概算見積_030627_＜3産2＞見積条件040127" xfId="1790" xr:uid="{00000000-0005-0000-0000-00001B070000}"/>
    <cellStyle name="見積-桁区切り_原価計画書(R-T社開発)_T社WRSサービス作業計画_020214_ソフトSS概算見積_030620_ソフトSS概算見積_030627_＜3産2＞見積条件040127" xfId="1791" xr:uid="{00000000-0005-0000-0000-00001C070000}"/>
    <cellStyle name="見積桁区切り_原価計画書(R-T社開発)_T社WRSサービス作業計画_020214_ソフトSS概算見積_030620_ソフトSS概算見積_030627_1" xfId="1792" xr:uid="{00000000-0005-0000-0000-00001D070000}"/>
    <cellStyle name="見積-桁区切り_原価計画書(R-T社開発)_T社WRSサービス作業計画_020214_ソフトSS概算見積_030620_ソフトSS概算見積_030627_1" xfId="1793" xr:uid="{00000000-0005-0000-0000-00001E070000}"/>
    <cellStyle name="見積桁区切り_原価計画書(R-T社開発)_T社WRSサービス作業計画_020214_ソフトSS概算見積_030620_ソフトSS概算見積_030627_JITEC見積_03.10.1" xfId="1794" xr:uid="{00000000-0005-0000-0000-00001F070000}"/>
    <cellStyle name="見積-桁区切り_原価計画書(R-T社開発)_T社WRSサービス作業計画_020214_ソフトSS概算見積_030620_ソフトSS概算見積_030627_JITEC見積_03.10.1" xfId="1795" xr:uid="{00000000-0005-0000-0000-000020070000}"/>
    <cellStyle name="見積桁区切り_原価計画書(R-T社開発)_T社WRSサービス作業計画_020214_ソフトSS概算見積_030620_ソフトSS概算見積_030627_JITEC見積_03.10.1_工数内訳" xfId="1796" xr:uid="{00000000-0005-0000-0000-000021070000}"/>
    <cellStyle name="見積-桁区切り_原価計画書(R-T社開発)_T社WRSサービス作業計画_020214_ソフトSS概算見積_030620_ソフトSS概算見積_030627_JITEC見積_03.10.1_工数内訳" xfId="1797" xr:uid="{00000000-0005-0000-0000-000022070000}"/>
    <cellStyle name="見積桁区切り_原価計画書(R-T社開発)_T社WRSサービス作業計画_020214_ソフトSS概算見積_030620_ソフトSS概算見積_030627_JITEC見積_03.9.28" xfId="1798" xr:uid="{00000000-0005-0000-0000-000023070000}"/>
    <cellStyle name="見積-桁区切り_原価計画書(R-T社開発)_T社WRSサービス作業計画_020214_ソフトSS概算見積_030620_ソフトSS概算見積_030627_JITEC見積_03.9.28" xfId="1799" xr:uid="{00000000-0005-0000-0000-000024070000}"/>
    <cellStyle name="見積桁区切り_原価計画書(R-T社開発)_T社WRSサービス作業計画_020214_ソフトSS概算見積_030620_ソフトSS概算見積_030627_ソフトSS概算見積_030627" xfId="1800" xr:uid="{00000000-0005-0000-0000-000025070000}"/>
    <cellStyle name="見積-桁区切り_原価計画書(R-T社開発)_T社WRSサービス作業計画_020214_ソフトSS概算見積_030620_ソフトSS概算見積_030627_ソフトSS概算見積_030627" xfId="1801" xr:uid="{00000000-0005-0000-0000-000026070000}"/>
    <cellStyle name="見積桁区切り_原価計画書(R-T社開発)_T社WRSサービス作業計画_020214_ソフトSS概算見積_030620_ソフトSS概算見積_030627_開発見積" xfId="1802" xr:uid="{00000000-0005-0000-0000-000027070000}"/>
    <cellStyle name="見積-桁区切り_原価計画書(R-T社開発)_T社WRSサービス作業計画_020214_ソフトSS概算見積_030620_ソフトSS概算見積_030627_開発見積" xfId="1803" xr:uid="{00000000-0005-0000-0000-000028070000}"/>
    <cellStyle name="見積桁区切り_原価計画書(R-T社開発)_T社WRSサービス作業計画_020214_ソフトSS概算見積_030620_開発見積" xfId="1804" xr:uid="{00000000-0005-0000-0000-000029070000}"/>
    <cellStyle name="見積-桁区切り_原価計画書(R-T社開発)_T社WRSサービス作業計画_020214_ソフトSS概算見積_030620_開発見積" xfId="1805" xr:uid="{00000000-0005-0000-0000-00002A070000}"/>
    <cellStyle name="見積桁区切り_原価計画書(R-T社開発)_T社WRSサービス作業計画_020214_ソフトSS概算見積_03062１営業修正" xfId="1806" xr:uid="{00000000-0005-0000-0000-00002B070000}"/>
    <cellStyle name="見積-桁区切り_原価計画書(R-T社開発)_T社WRSサービス作業計画_020214_ソフトSS概算見積_03062１営業修正" xfId="1807" xr:uid="{00000000-0005-0000-0000-00002C070000}"/>
    <cellStyle name="見積桁区切り_原価計画書(R-T社開発)_T社WRSサービス作業計画_020214_ソフトSS概算見積_03062１営業修正_＜3産2＞見積条件040127" xfId="1808" xr:uid="{00000000-0005-0000-0000-00002D070000}"/>
    <cellStyle name="見積-桁区切り_原価計画書(R-T社開発)_T社WRSサービス作業計画_020214_ソフトSS概算見積_03062１営業修正_＜3産2＞見積条件040127" xfId="1809" xr:uid="{00000000-0005-0000-0000-00002E070000}"/>
    <cellStyle name="見積桁区切り_原価計画書(R-T社開発)_T社WRSサービス作業計画_020214_ソフトSS概算見積_03062１営業修正_JITEC見積_03.10.1" xfId="1810" xr:uid="{00000000-0005-0000-0000-00002F070000}"/>
    <cellStyle name="見積-桁区切り_原価計画書(R-T社開発)_T社WRSサービス作業計画_020214_ソフトSS概算見積_03062１営業修正_JITEC見積_03.10.1" xfId="1811" xr:uid="{00000000-0005-0000-0000-000030070000}"/>
    <cellStyle name="見積桁区切り_原価計画書(R-T社開発)_T社WRSサービス作業計画_020214_ソフトSS概算見積_03062１営業修正_JITEC見積_03.10.1_工数内訳" xfId="1812" xr:uid="{00000000-0005-0000-0000-000031070000}"/>
    <cellStyle name="見積-桁区切り_原価計画書(R-T社開発)_T社WRSサービス作業計画_020214_ソフトSS概算見積_03062１営業修正_JITEC見積_03.10.1_工数内訳" xfId="1813" xr:uid="{00000000-0005-0000-0000-000032070000}"/>
    <cellStyle name="見積桁区切り_原価計画書(R-T社開発)_T社WRSサービス作業計画_020214_ソフトSS概算見積_03062１営業修正_JITEC見積_03.9.28" xfId="1814" xr:uid="{00000000-0005-0000-0000-000033070000}"/>
    <cellStyle name="見積-桁区切り_原価計画書(R-T社開発)_T社WRSサービス作業計画_020214_ソフトSS概算見積_03062１営業修正_JITEC見積_03.9.28" xfId="1815" xr:uid="{00000000-0005-0000-0000-000034070000}"/>
    <cellStyle name="見積桁区切り_原価計画書(R-T社開発)_T社WRSサービス作業計画_020214_ソフトSS概算見積_03062１営業修正_ソフトSS概算見" xfId="1816" xr:uid="{00000000-0005-0000-0000-000035070000}"/>
    <cellStyle name="見積-桁区切り_原価計画書(R-T社開発)_T社WRSサービス作業計画_020214_ソフトSS概算見積_03062１営業修正_ソフトSS概算見" xfId="1817" xr:uid="{00000000-0005-0000-0000-000036070000}"/>
    <cellStyle name="見積桁区切り_原価計画書(R-T社開発)_T社WRSサービス作業計画_020214_ソフトSS概算見積_03062１営業修正_ソフトSS概算見_＜3産2＞見積条件040127" xfId="1818" xr:uid="{00000000-0005-0000-0000-000037070000}"/>
    <cellStyle name="見積-桁区切り_原価計画書(R-T社開発)_T社WRSサービス作業計画_020214_ソフトSS概算見積_03062１営業修正_ソフトSS概算見_＜3産2＞見積条件040127" xfId="1819" xr:uid="{00000000-0005-0000-0000-000038070000}"/>
    <cellStyle name="見積桁区切り_原価計画書(R-T社開発)_T社WRSサービス作業計画_020214_ソフトSS概算見積_03062１営業修正_ソフトSS概算見_JITEC見積_03.10.1" xfId="1820" xr:uid="{00000000-0005-0000-0000-000039070000}"/>
    <cellStyle name="見積-桁区切り_原価計画書(R-T社開発)_T社WRSサービス作業計画_020214_ソフトSS概算見積_03062１営業修正_ソフトSS概算見_JITEC見積_03.10.1" xfId="1821" xr:uid="{00000000-0005-0000-0000-00003A070000}"/>
    <cellStyle name="見積桁区切り_原価計画書(R-T社開発)_T社WRSサービス作業計画_020214_ソフトSS概算見積_03062１営業修正_ソフトSS概算見_JITEC見積_03.10.1_工数内訳" xfId="1822" xr:uid="{00000000-0005-0000-0000-00003B070000}"/>
    <cellStyle name="見積-桁区切り_原価計画書(R-T社開発)_T社WRSサービス作業計画_020214_ソフトSS概算見積_03062１営業修正_ソフトSS概算見_JITEC見積_03.10.1_工数内訳" xfId="1823" xr:uid="{00000000-0005-0000-0000-00003C070000}"/>
    <cellStyle name="見積桁区切り_原価計画書(R-T社開発)_T社WRSサービス作業計画_020214_ソフトSS概算見積_03062１営業修正_ソフトSS概算見_JITEC見積_03.9.28" xfId="1824" xr:uid="{00000000-0005-0000-0000-00003D070000}"/>
    <cellStyle name="見積-桁区切り_原価計画書(R-T社開発)_T社WRSサービス作業計画_020214_ソフトSS概算見積_03062１営業修正_ソフトSS概算見_JITEC見積_03.9.28" xfId="1825" xr:uid="{00000000-0005-0000-0000-00003E070000}"/>
    <cellStyle name="見積桁区切り_原価計画書(R-T社開発)_T社WRSサービス作業計画_020214_ソフトSS概算見積_03062１営業修正_ソフトSS概算見_開発見積" xfId="1826" xr:uid="{00000000-0005-0000-0000-00003F070000}"/>
    <cellStyle name="見積-桁区切り_原価計画書(R-T社開発)_T社WRSサービス作業計画_020214_ソフトSS概算見積_03062１営業修正_ソフトSS概算見_開発見積" xfId="1827" xr:uid="{00000000-0005-0000-0000-000040070000}"/>
    <cellStyle name="見積桁区切り_原価計画書(R-T社開発)_T社WRSサービス作業計画_020214_ソフトSS概算見積_03062１営業修正_開発見積" xfId="1828" xr:uid="{00000000-0005-0000-0000-000041070000}"/>
    <cellStyle name="見積-桁区切り_原価計画書(R-T社開発)_T社WRSサービス作業計画_020214_ソフトSS概算見積_03062１営業修正_開発見積" xfId="1829" xr:uid="{00000000-0005-0000-0000-000042070000}"/>
    <cellStyle name="見積桁区切り_原価計画書(R-T社開発)_T社WRSサービス作業計画_020214_ソフトSS概算見積_030627" xfId="1830" xr:uid="{00000000-0005-0000-0000-000043070000}"/>
    <cellStyle name="見積-桁区切り_原価計画書(R-T社開発)_T社WRSサービス作業計画_020214_ソフトSS概算見積_030627" xfId="1831" xr:uid="{00000000-0005-0000-0000-000044070000}"/>
    <cellStyle name="見積桁区切り_原価計画書(R-T社開発)_T社WRSサービス作業計画_020214_開発見積" xfId="1832" xr:uid="{00000000-0005-0000-0000-000045070000}"/>
    <cellStyle name="見積-桁区切り_原価計画書(R-T社開発)_T社WRSサービス作業計画_020214_開発見積" xfId="1833" xr:uid="{00000000-0005-0000-0000-000046070000}"/>
    <cellStyle name="見積桁区切り_原価計画書(R-T社開発)_T社WRSサービス作業計画_020214_自治体向けｻｲﾄ構築機能整理表_Ver2" xfId="1834" xr:uid="{00000000-0005-0000-0000-000047070000}"/>
    <cellStyle name="見積-桁区切り_原価計画書(R-T社開発)_T社WRSサービス作業計画_020214_自治体向けｻｲﾄ構築機能整理表_Ver2" xfId="1835" xr:uid="{00000000-0005-0000-0000-000048070000}"/>
    <cellStyle name="見積桁区切り_原価計画書(R-T社開発)_WRS詳細設計書format(blue)" xfId="1836" xr:uid="{00000000-0005-0000-0000-000049070000}"/>
    <cellStyle name="見積-桁区切り_原価計画書(R-T社開発)_WRS詳細設計書format(blue)" xfId="1837" xr:uid="{00000000-0005-0000-0000-00004A070000}"/>
    <cellStyle name="見積桁区切り_原価計画書(R-T社開発)_WRS詳細設計書format(blue)_＜3産2＞見積条件040127" xfId="1838" xr:uid="{00000000-0005-0000-0000-00004B070000}"/>
    <cellStyle name="見積-桁区切り_原価計画書(R-T社開発)_WRS詳細設計書format(blue)_＜3産2＞見積条件040127" xfId="1839" xr:uid="{00000000-0005-0000-0000-00004C070000}"/>
    <cellStyle name="見積桁区切り_原価計画書(R-T社開発)_WRS詳細設計書format(blue)_JITEC見積_03.10.1" xfId="1840" xr:uid="{00000000-0005-0000-0000-00004D070000}"/>
    <cellStyle name="見積-桁区切り_原価計画書(R-T社開発)_WRS詳細設計書format(blue)_JITEC見積_03.10.1" xfId="1841" xr:uid="{00000000-0005-0000-0000-00004E070000}"/>
    <cellStyle name="見積桁区切り_原価計画書(R-T社開発)_WRS詳細設計書format(blue)_JITEC見積_03.10.1_工数内訳" xfId="1842" xr:uid="{00000000-0005-0000-0000-00004F070000}"/>
    <cellStyle name="見積-桁区切り_原価計画書(R-T社開発)_WRS詳細設計書format(blue)_JITEC見積_03.10.1_工数内訳" xfId="1843" xr:uid="{00000000-0005-0000-0000-000050070000}"/>
    <cellStyle name="見積桁区切り_原価計画書(R-T社開発)_WRS詳細設計書format(blue)_JITEC見積_03.9.28" xfId="1844" xr:uid="{00000000-0005-0000-0000-000051070000}"/>
    <cellStyle name="見積-桁区切り_原価計画書(R-T社開発)_WRS詳細設計書format(blue)_JITEC見積_03.9.28" xfId="1845" xr:uid="{00000000-0005-0000-0000-000052070000}"/>
    <cellStyle name="見積桁区切り_原価計画書(R-T社開発)_WRS詳細設計書format(blue)_ソフトSS概算見積_030620" xfId="1846" xr:uid="{00000000-0005-0000-0000-000053070000}"/>
    <cellStyle name="見積-桁区切り_原価計画書(R-T社開発)_WRS詳細設計書format(blue)_ソフトSS概算見積_030620" xfId="1847" xr:uid="{00000000-0005-0000-0000-000054070000}"/>
    <cellStyle name="見積桁区切り_原価計画書(R-T社開発)_WRS詳細設計書format(blue)_ソフトSS概算見積_030620_＜3産2＞見積条件040127" xfId="1848" xr:uid="{00000000-0005-0000-0000-000055070000}"/>
    <cellStyle name="見積-桁区切り_原価計画書(R-T社開発)_WRS詳細設計書format(blue)_ソフトSS概算見積_030620_＜3産2＞見積条件040127" xfId="1849" xr:uid="{00000000-0005-0000-0000-000056070000}"/>
    <cellStyle name="見積桁区切り_原価計画書(R-T社開発)_WRS詳細設計書format(blue)_ソフトSS概算見積_030620_1" xfId="1850" xr:uid="{00000000-0005-0000-0000-000057070000}"/>
    <cellStyle name="見積-桁区切り_原価計画書(R-T社開発)_WRS詳細設計書format(blue)_ソフトSS概算見積_030620_1" xfId="1851" xr:uid="{00000000-0005-0000-0000-000058070000}"/>
    <cellStyle name="見積桁区切り_原価計画書(R-T社開発)_WRS詳細設計書format(blue)_ソフトSS概算見積_030620_JITEC見積_03.10.1" xfId="1852" xr:uid="{00000000-0005-0000-0000-000059070000}"/>
    <cellStyle name="見積-桁区切り_原価計画書(R-T社開発)_WRS詳細設計書format(blue)_ソフトSS概算見積_030620_JITEC見積_03.10.1" xfId="1853" xr:uid="{00000000-0005-0000-0000-00005A070000}"/>
    <cellStyle name="見積桁区切り_原価計画書(R-T社開発)_WRS詳細設計書format(blue)_ソフトSS概算見積_030620_JITEC見積_03.10.1_工数内訳" xfId="1854" xr:uid="{00000000-0005-0000-0000-00005B070000}"/>
    <cellStyle name="見積-桁区切り_原価計画書(R-T社開発)_WRS詳細設計書format(blue)_ソフトSS概算見積_030620_JITEC見積_03.10.1_工数内訳" xfId="1855" xr:uid="{00000000-0005-0000-0000-00005C070000}"/>
    <cellStyle name="見積桁区切り_原価計画書(R-T社開発)_WRS詳細設計書format(blue)_ソフトSS概算見積_030620_JITEC見積_03.9.28" xfId="1856" xr:uid="{00000000-0005-0000-0000-00005D070000}"/>
    <cellStyle name="見積-桁区切り_原価計画書(R-T社開発)_WRS詳細設計書format(blue)_ソフトSS概算見積_030620_JITEC見積_03.9.28" xfId="1857" xr:uid="{00000000-0005-0000-0000-00005E070000}"/>
    <cellStyle name="見積桁区切り_原価計画書(R-T社開発)_WRS詳細設計書format(blue)_ソフトSS概算見積_030620_ソフトSS概算見" xfId="1858" xr:uid="{00000000-0005-0000-0000-00005F070000}"/>
    <cellStyle name="見積-桁区切り_原価計画書(R-T社開発)_WRS詳細設計書format(blue)_ソフトSS概算見積_030620_ソフトSS概算見" xfId="1859" xr:uid="{00000000-0005-0000-0000-000060070000}"/>
    <cellStyle name="見積桁区切り_原価計画書(R-T社開発)_WRS詳細設計書format(blue)_ソフトSS概算見積_030620_ソフトSS概算見_＜3産2＞見積条件040127" xfId="1860" xr:uid="{00000000-0005-0000-0000-000061070000}"/>
    <cellStyle name="見積-桁区切り_原価計画書(R-T社開発)_WRS詳細設計書format(blue)_ソフトSS概算見積_030620_ソフトSS概算見_＜3産2＞見積条件040127" xfId="1861" xr:uid="{00000000-0005-0000-0000-000062070000}"/>
    <cellStyle name="見積桁区切り_原価計画書(R-T社開発)_WRS詳細設計書format(blue)_ソフトSS概算見積_030620_ソフトSS概算見_JITEC見積_03.10.1" xfId="1862" xr:uid="{00000000-0005-0000-0000-000063070000}"/>
    <cellStyle name="見積-桁区切り_原価計画書(R-T社開発)_WRS詳細設計書format(blue)_ソフトSS概算見積_030620_ソフトSS概算見_JITEC見積_03.10.1" xfId="1863" xr:uid="{00000000-0005-0000-0000-000064070000}"/>
    <cellStyle name="見積桁区切り_原価計画書(R-T社開発)_WRS詳細設計書format(blue)_ソフトSS概算見積_030620_ソフトSS概算見_JITEC見積_03.10.1_工数内訳" xfId="1864" xr:uid="{00000000-0005-0000-0000-000065070000}"/>
    <cellStyle name="見積-桁区切り_原価計画書(R-T社開発)_WRS詳細設計書format(blue)_ソフトSS概算見積_030620_ソフトSS概算見_JITEC見積_03.10.1_工数内訳" xfId="1865" xr:uid="{00000000-0005-0000-0000-000066070000}"/>
    <cellStyle name="見積桁区切り_原価計画書(R-T社開発)_WRS詳細設計書format(blue)_ソフトSS概算見積_030620_ソフトSS概算見_JITEC見積_03.9.28" xfId="1866" xr:uid="{00000000-0005-0000-0000-000067070000}"/>
    <cellStyle name="見積-桁区切り_原価計画書(R-T社開発)_WRS詳細設計書format(blue)_ソフトSS概算見積_030620_ソフトSS概算見_JITEC見積_03.9.28" xfId="1867" xr:uid="{00000000-0005-0000-0000-000068070000}"/>
    <cellStyle name="見積桁区切り_原価計画書(R-T社開発)_WRS詳細設計書format(blue)_ソフトSS概算見積_030620_ソフトSS概算見_開発見積" xfId="1868" xr:uid="{00000000-0005-0000-0000-000069070000}"/>
    <cellStyle name="見積-桁区切り_原価計画書(R-T社開発)_WRS詳細設計書format(blue)_ソフトSS概算見積_030620_ソフトSS概算見_開発見積" xfId="1869" xr:uid="{00000000-0005-0000-0000-00006A070000}"/>
    <cellStyle name="見積桁区切り_原価計画書(R-T社開発)_WRS詳細設計書format(blue)_ソフトSS概算見積_030620_ソフトSS概算見積_030620" xfId="1870" xr:uid="{00000000-0005-0000-0000-00006B070000}"/>
    <cellStyle name="見積-桁区切り_原価計画書(R-T社開発)_WRS詳細設計書format(blue)_ソフトSS概算見積_030620_ソフトSS概算見積_030620" xfId="1871" xr:uid="{00000000-0005-0000-0000-00006C070000}"/>
    <cellStyle name="見積桁区切り_原価計画書(R-T社開発)_WRS詳細設計書format(blue)_ソフトSS概算見積_030620_ソフトSS概算見積_030627" xfId="1872" xr:uid="{00000000-0005-0000-0000-00006D070000}"/>
    <cellStyle name="見積-桁区切り_原価計画書(R-T社開発)_WRS詳細設計書format(blue)_ソフトSS概算見積_030620_ソフトSS概算見積_030627" xfId="1873" xr:uid="{00000000-0005-0000-0000-00006E070000}"/>
    <cellStyle name="見積桁区切り_原価計画書(R-T社開発)_WRS詳細設計書format(blue)_ソフトSS概算見積_030620_ソフトSS概算見積_030627_＜3産2＞見積条件040127" xfId="1874" xr:uid="{00000000-0005-0000-0000-00006F070000}"/>
    <cellStyle name="見積-桁区切り_原価計画書(R-T社開発)_WRS詳細設計書format(blue)_ソフトSS概算見積_030620_ソフトSS概算見積_030627_＜3産2＞見積条件040127" xfId="1875" xr:uid="{00000000-0005-0000-0000-000070070000}"/>
    <cellStyle name="見積桁区切り_原価計画書(R-T社開発)_WRS詳細設計書format(blue)_ソフトSS概算見積_030620_ソフトSS概算見積_030627_1" xfId="1876" xr:uid="{00000000-0005-0000-0000-000071070000}"/>
    <cellStyle name="見積-桁区切り_原価計画書(R-T社開発)_WRS詳細設計書format(blue)_ソフトSS概算見積_030620_ソフトSS概算見積_030627_1" xfId="1877" xr:uid="{00000000-0005-0000-0000-000072070000}"/>
    <cellStyle name="見積桁区切り_原価計画書(R-T社開発)_WRS詳細設計書format(blue)_ソフトSS概算見積_030620_ソフトSS概算見積_030627_JITEC見積_03.10.1" xfId="1878" xr:uid="{00000000-0005-0000-0000-000073070000}"/>
    <cellStyle name="見積-桁区切り_原価計画書(R-T社開発)_WRS詳細設計書format(blue)_ソフトSS概算見積_030620_ソフトSS概算見積_030627_JITEC見積_03.10.1" xfId="1879" xr:uid="{00000000-0005-0000-0000-000074070000}"/>
    <cellStyle name="見積桁区切り_原価計画書(R-T社開発)_WRS詳細設計書format(blue)_ソフトSS概算見積_030620_ソフトSS概算見積_030627_JITEC見積_03.10.1_工数内訳" xfId="1880" xr:uid="{00000000-0005-0000-0000-000075070000}"/>
    <cellStyle name="見積-桁区切り_原価計画書(R-T社開発)_WRS詳細設計書format(blue)_ソフトSS概算見積_030620_ソフトSS概算見積_030627_JITEC見積_03.10.1_工数内訳" xfId="1881" xr:uid="{00000000-0005-0000-0000-000076070000}"/>
    <cellStyle name="見積桁区切り_原価計画書(R-T社開発)_WRS詳細設計書format(blue)_ソフトSS概算見積_030620_ソフトSS概算見積_030627_JITEC見積_03.9.28" xfId="1882" xr:uid="{00000000-0005-0000-0000-000077070000}"/>
    <cellStyle name="見積-桁区切り_原価計画書(R-T社開発)_WRS詳細設計書format(blue)_ソフトSS概算見積_030620_ソフトSS概算見積_030627_JITEC見積_03.9.28" xfId="1883" xr:uid="{00000000-0005-0000-0000-000078070000}"/>
    <cellStyle name="見積桁区切り_原価計画書(R-T社開発)_WRS詳細設計書format(blue)_ソフトSS概算見積_030620_ソフトSS概算見積_030627_ソフトSS概算見積_030627" xfId="1884" xr:uid="{00000000-0005-0000-0000-000079070000}"/>
    <cellStyle name="見積-桁区切り_原価計画書(R-T社開発)_WRS詳細設計書format(blue)_ソフトSS概算見積_030620_ソフトSS概算見積_030627_ソフトSS概算見積_030627" xfId="1885" xr:uid="{00000000-0005-0000-0000-00007A070000}"/>
    <cellStyle name="見積桁区切り_原価計画書(R-T社開発)_WRS詳細設計書format(blue)_ソフトSS概算見積_030620_ソフトSS概算見積_030627_開発見積" xfId="1886" xr:uid="{00000000-0005-0000-0000-00007B070000}"/>
    <cellStyle name="見積-桁区切り_原価計画書(R-T社開発)_WRS詳細設計書format(blue)_ソフトSS概算見積_030620_ソフトSS概算見積_030627_開発見積" xfId="1887" xr:uid="{00000000-0005-0000-0000-00007C070000}"/>
    <cellStyle name="見積桁区切り_原価計画書(R-T社開発)_WRS詳細設計書format(blue)_ソフトSS概算見積_030620_開発見積" xfId="1888" xr:uid="{00000000-0005-0000-0000-00007D070000}"/>
    <cellStyle name="見積-桁区切り_原価計画書(R-T社開発)_WRS詳細設計書format(blue)_ソフトSS概算見積_030620_開発見積" xfId="1889" xr:uid="{00000000-0005-0000-0000-00007E070000}"/>
    <cellStyle name="見積桁区切り_原価計画書(R-T社開発)_WRS詳細設計書format(blue)_ソフトSS概算見積_03062１営業修正" xfId="1890" xr:uid="{00000000-0005-0000-0000-00007F070000}"/>
    <cellStyle name="見積-桁区切り_原価計画書(R-T社開発)_WRS詳細設計書format(blue)_ソフトSS概算見積_03062１営業修正" xfId="1891" xr:uid="{00000000-0005-0000-0000-000080070000}"/>
    <cellStyle name="見積桁区切り_原価計画書(R-T社開発)_WRS詳細設計書format(blue)_ソフトSS概算見積_03062１営業修正_＜3産2＞見積条件040127" xfId="1892" xr:uid="{00000000-0005-0000-0000-000081070000}"/>
    <cellStyle name="見積-桁区切り_原価計画書(R-T社開発)_WRS詳細設計書format(blue)_ソフトSS概算見積_03062１営業修正_＜3産2＞見積条件040127" xfId="1893" xr:uid="{00000000-0005-0000-0000-000082070000}"/>
    <cellStyle name="見積桁区切り_原価計画書(R-T社開発)_WRS詳細設計書format(blue)_ソフトSS概算見積_03062１営業修正_JITEC見積_03.10.1" xfId="1894" xr:uid="{00000000-0005-0000-0000-000083070000}"/>
    <cellStyle name="見積-桁区切り_原価計画書(R-T社開発)_WRS詳細設計書format(blue)_ソフトSS概算見積_03062１営業修正_JITEC見積_03.10.1" xfId="1895" xr:uid="{00000000-0005-0000-0000-000084070000}"/>
    <cellStyle name="見積桁区切り_原価計画書(R-T社開発)_WRS詳細設計書format(blue)_ソフトSS概算見積_03062１営業修正_JITEC見積_03.10.1_工数内訳" xfId="1896" xr:uid="{00000000-0005-0000-0000-000085070000}"/>
    <cellStyle name="見積-桁区切り_原価計画書(R-T社開発)_WRS詳細設計書format(blue)_ソフトSS概算見積_03062１営業修正_JITEC見積_03.10.1_工数内訳" xfId="1897" xr:uid="{00000000-0005-0000-0000-000086070000}"/>
    <cellStyle name="見積桁区切り_原価計画書(R-T社開発)_WRS詳細設計書format(blue)_ソフトSS概算見積_03062１営業修正_JITEC見積_03.9.28" xfId="1898" xr:uid="{00000000-0005-0000-0000-000087070000}"/>
    <cellStyle name="見積-桁区切り_原価計画書(R-T社開発)_WRS詳細設計書format(blue)_ソフトSS概算見積_03062１営業修正_JITEC見積_03.9.28" xfId="1899" xr:uid="{00000000-0005-0000-0000-000088070000}"/>
    <cellStyle name="見積桁区切り_原価計画書(R-T社開発)_WRS詳細設計書format(blue)_ソフトSS概算見積_03062１営業修正_ソフトSS概算見" xfId="1900" xr:uid="{00000000-0005-0000-0000-000089070000}"/>
    <cellStyle name="見積-桁区切り_原価計画書(R-T社開発)_WRS詳細設計書format(blue)_ソフトSS概算見積_03062１営業修正_ソフトSS概算見" xfId="1901" xr:uid="{00000000-0005-0000-0000-00008A070000}"/>
    <cellStyle name="見積桁区切り_原価計画書(R-T社開発)_WRS詳細設計書format(blue)_ソフトSS概算見積_03062１営業修正_ソフトSS概算見_＜3産2＞見積条件040127" xfId="1902" xr:uid="{00000000-0005-0000-0000-00008B070000}"/>
    <cellStyle name="見積-桁区切り_原価計画書(R-T社開発)_WRS詳細設計書format(blue)_ソフトSS概算見積_03062１営業修正_ソフトSS概算見_＜3産2＞見積条件040127" xfId="1903" xr:uid="{00000000-0005-0000-0000-00008C070000}"/>
    <cellStyle name="見積桁区切り_原価計画書(R-T社開発)_WRS詳細設計書format(blue)_ソフトSS概算見積_03062１営業修正_ソフトSS概算見_JITEC見積_03.10.1" xfId="1904" xr:uid="{00000000-0005-0000-0000-00008D070000}"/>
    <cellStyle name="見積-桁区切り_原価計画書(R-T社開発)_WRS詳細設計書format(blue)_ソフトSS概算見積_03062１営業修正_ソフトSS概算見_JITEC見積_03.10.1" xfId="1905" xr:uid="{00000000-0005-0000-0000-00008E070000}"/>
    <cellStyle name="見積桁区切り_原価計画書(R-T社開発)_WRS詳細設計書format(blue)_ソフトSS概算見積_03062１営業修正_ソフトSS概算見_JITEC見積_03.10.1_工数内訳" xfId="1906" xr:uid="{00000000-0005-0000-0000-00008F070000}"/>
    <cellStyle name="見積-桁区切り_原価計画書(R-T社開発)_WRS詳細設計書format(blue)_ソフトSS概算見積_03062１営業修正_ソフトSS概算見_JITEC見積_03.10.1_工数内訳" xfId="1907" xr:uid="{00000000-0005-0000-0000-000090070000}"/>
    <cellStyle name="見積桁区切り_原価計画書(R-T社開発)_WRS詳細設計書format(blue)_ソフトSS概算見積_03062１営業修正_ソフトSS概算見_JITEC見積_03.9.28" xfId="1908" xr:uid="{00000000-0005-0000-0000-000091070000}"/>
    <cellStyle name="見積-桁区切り_原価計画書(R-T社開発)_WRS詳細設計書format(blue)_ソフトSS概算見積_03062１営業修正_ソフトSS概算見_JITEC見積_03.9.28" xfId="1909" xr:uid="{00000000-0005-0000-0000-000092070000}"/>
    <cellStyle name="見積桁区切り_原価計画書(R-T社開発)_WRS詳細設計書format(blue)_ソフトSS概算見積_03062１営業修正_ソフトSS概算見_開発見積" xfId="1910" xr:uid="{00000000-0005-0000-0000-000093070000}"/>
    <cellStyle name="見積-桁区切り_原価計画書(R-T社開発)_WRS詳細設計書format(blue)_ソフトSS概算見積_03062１営業修正_ソフトSS概算見_開発見積" xfId="1911" xr:uid="{00000000-0005-0000-0000-000094070000}"/>
    <cellStyle name="見積桁区切り_原価計画書(R-T社開発)_WRS詳細設計書format(blue)_ソフトSS概算見積_03062１営業修正_開発見積" xfId="1912" xr:uid="{00000000-0005-0000-0000-000095070000}"/>
    <cellStyle name="見積-桁区切り_原価計画書(R-T社開発)_WRS詳細設計書format(blue)_ソフトSS概算見積_03062１営業修正_開発見積" xfId="1913" xr:uid="{00000000-0005-0000-0000-000096070000}"/>
    <cellStyle name="見積桁区切り_原価計画書(R-T社開発)_WRS詳細設計書format(blue)_ソフトSS概算見積_030627" xfId="1914" xr:uid="{00000000-0005-0000-0000-000097070000}"/>
    <cellStyle name="見積-桁区切り_原価計画書(R-T社開発)_WRS詳細設計書format(blue)_ソフトSS概算見積_030627" xfId="1915" xr:uid="{00000000-0005-0000-0000-000098070000}"/>
    <cellStyle name="見積桁区切り_原価計画書(R-T社開発)_WRS詳細設計書format(blue)_開発見積" xfId="1916" xr:uid="{00000000-0005-0000-0000-000099070000}"/>
    <cellStyle name="見積-桁区切り_原価計画書(R-T社開発)_WRS詳細設計書format(blue)_開発見積" xfId="1917" xr:uid="{00000000-0005-0000-0000-00009A070000}"/>
    <cellStyle name="見積桁区切り_原価計画書(R-T社開発)_WRS詳細設計書format(blue)_自治体向けｻｲﾄ構築機能整理表_Ver2" xfId="1918" xr:uid="{00000000-0005-0000-0000-00009B070000}"/>
    <cellStyle name="見積-桁区切り_原価計画書(R-T社開発)_WRS詳細設計書format(blue)_自治体向けｻｲﾄ構築機能整理表_Ver2" xfId="1919" xr:uid="{00000000-0005-0000-0000-00009C070000}"/>
    <cellStyle name="見積桁区切り_原価計画書(R-T社開発)_WRS新卒全体ｽｹｼﾞｭｰﾙ" xfId="1920" xr:uid="{00000000-0005-0000-0000-00009D070000}"/>
    <cellStyle name="見積-桁区切り_原価計画書(R-T社開発)_WRS新卒全体ｽｹｼﾞｭｰﾙ" xfId="1921" xr:uid="{00000000-0005-0000-0000-00009E070000}"/>
    <cellStyle name="見積桁区切り_原価計画書(R-T社開発)_WRS新卒全体ｽｹｼﾞｭｰﾙ_＜3産2＞見積条件040127" xfId="1922" xr:uid="{00000000-0005-0000-0000-00009F070000}"/>
    <cellStyle name="見積-桁区切り_原価計画書(R-T社開発)_WRS新卒全体ｽｹｼﾞｭｰﾙ_＜3産2＞見積条件040127" xfId="1923" xr:uid="{00000000-0005-0000-0000-0000A0070000}"/>
    <cellStyle name="見積桁区切り_原価計画書(R-T社開発)_WRS新卒全体ｽｹｼﾞｭｰﾙ_JITEC見積_03.10.1" xfId="1924" xr:uid="{00000000-0005-0000-0000-0000A1070000}"/>
    <cellStyle name="見積-桁区切り_原価計画書(R-T社開発)_WRS新卒全体ｽｹｼﾞｭｰﾙ_JITEC見積_03.10.1" xfId="1925" xr:uid="{00000000-0005-0000-0000-0000A2070000}"/>
    <cellStyle name="見積桁区切り_原価計画書(R-T社開発)_WRS新卒全体ｽｹｼﾞｭｰﾙ_JITEC見積_03.10.1_工数内訳" xfId="1926" xr:uid="{00000000-0005-0000-0000-0000A3070000}"/>
    <cellStyle name="見積-桁区切り_原価計画書(R-T社開発)_WRS新卒全体ｽｹｼﾞｭｰﾙ_JITEC見積_03.10.1_工数内訳" xfId="1927" xr:uid="{00000000-0005-0000-0000-0000A4070000}"/>
    <cellStyle name="見積桁区切り_原価計画書(R-T社開発)_WRS新卒全体ｽｹｼﾞｭｰﾙ_JITEC見積_03.9.28" xfId="1928" xr:uid="{00000000-0005-0000-0000-0000A5070000}"/>
    <cellStyle name="見積-桁区切り_原価計画書(R-T社開発)_WRS新卒全体ｽｹｼﾞｭｰﾙ_JITEC見積_03.9.28" xfId="1929" xr:uid="{00000000-0005-0000-0000-0000A6070000}"/>
    <cellStyle name="見積桁区切り_原価計画書(R-T社開発)_WRS新卒全体ｽｹｼﾞｭｰﾙ_WRS新卒全体ｽｹｼﾞｭｰﾙ" xfId="1930" xr:uid="{00000000-0005-0000-0000-0000A7070000}"/>
    <cellStyle name="見積-桁区切り_原価計画書(R-T社開発)_WRS新卒全体ｽｹｼﾞｭｰﾙ_WRS新卒全体ｽｹｼﾞｭｰﾙ" xfId="1931" xr:uid="{00000000-0005-0000-0000-0000A8070000}"/>
    <cellStyle name="見積桁区切り_原価計画書(R-T社開発)_WRS新卒全体ｽｹｼﾞｭｰﾙ_WRS新卒全体ｽｹｼﾞｭｰﾙ_＜3産2＞見積条件040127" xfId="1932" xr:uid="{00000000-0005-0000-0000-0000A9070000}"/>
    <cellStyle name="見積-桁区切り_原価計画書(R-T社開発)_WRS新卒全体ｽｹｼﾞｭｰﾙ_WRS新卒全体ｽｹｼﾞｭｰﾙ_＜3産2＞見積条件040127" xfId="1933" xr:uid="{00000000-0005-0000-0000-0000AA070000}"/>
    <cellStyle name="見積桁区切り_原価計画書(R-T社開発)_WRS新卒全体ｽｹｼﾞｭｰﾙ_WRS新卒全体ｽｹｼﾞｭｰﾙ_JITEC見積_03.10.1" xfId="1934" xr:uid="{00000000-0005-0000-0000-0000AB070000}"/>
    <cellStyle name="見積-桁区切り_原価計画書(R-T社開発)_WRS新卒全体ｽｹｼﾞｭｰﾙ_WRS新卒全体ｽｹｼﾞｭｰﾙ_JITEC見積_03.10.1" xfId="1935" xr:uid="{00000000-0005-0000-0000-0000AC070000}"/>
    <cellStyle name="見積桁区切り_原価計画書(R-T社開発)_WRS新卒全体ｽｹｼﾞｭｰﾙ_WRS新卒全体ｽｹｼﾞｭｰﾙ_JITEC見積_03.10.1_工数内訳" xfId="1936" xr:uid="{00000000-0005-0000-0000-0000AD070000}"/>
    <cellStyle name="見積-桁区切り_原価計画書(R-T社開発)_WRS新卒全体ｽｹｼﾞｭｰﾙ_WRS新卒全体ｽｹｼﾞｭｰﾙ_JITEC見積_03.10.1_工数内訳" xfId="1937" xr:uid="{00000000-0005-0000-0000-0000AE070000}"/>
    <cellStyle name="見積桁区切り_原価計画書(R-T社開発)_WRS新卒全体ｽｹｼﾞｭｰﾙ_WRS新卒全体ｽｹｼﾞｭｰﾙ_JITEC見積_03.9.28" xfId="1938" xr:uid="{00000000-0005-0000-0000-0000AF070000}"/>
    <cellStyle name="見積-桁区切り_原価計画書(R-T社開発)_WRS新卒全体ｽｹｼﾞｭｰﾙ_WRS新卒全体ｽｹｼﾞｭｰﾙ_JITEC見積_03.9.28" xfId="1939" xr:uid="{00000000-0005-0000-0000-0000B0070000}"/>
    <cellStyle name="見積桁区切り_原価計画書(R-T社開発)_WRS新卒全体ｽｹｼﾞｭｰﾙ_WRS新卒全体ｽｹｼﾞｭｰﾙ_WRS詳細設計書format(blue)" xfId="1940" xr:uid="{00000000-0005-0000-0000-0000B1070000}"/>
    <cellStyle name="見積-桁区切り_原価計画書(R-T社開発)_WRS新卒全体ｽｹｼﾞｭｰﾙ_WRS新卒全体ｽｹｼﾞｭｰﾙ_WRS詳細設計書format(blue)" xfId="1941" xr:uid="{00000000-0005-0000-0000-0000B2070000}"/>
    <cellStyle name="見積桁区切り_原価計画書(R-T社開発)_WRS新卒全体ｽｹｼﾞｭｰﾙ_WRS新卒全体ｽｹｼﾞｭｰﾙ_WRS詳細設計書format(blue)_＜3産2＞見積条件040127" xfId="1942" xr:uid="{00000000-0005-0000-0000-0000B3070000}"/>
    <cellStyle name="見積-桁区切り_原価計画書(R-T社開発)_WRS新卒全体ｽｹｼﾞｭｰﾙ_WRS新卒全体ｽｹｼﾞｭｰﾙ_WRS詳細設計書format(blue)_＜3産2＞見積条件040127" xfId="1943" xr:uid="{00000000-0005-0000-0000-0000B4070000}"/>
    <cellStyle name="見積桁区切り_原価計画書(R-T社開発)_WRS新卒全体ｽｹｼﾞｭｰﾙ_WRS新卒全体ｽｹｼﾞｭｰﾙ_WRS詳細設計書format(blue)_JITEC見積_03.10.1" xfId="1944" xr:uid="{00000000-0005-0000-0000-0000B5070000}"/>
    <cellStyle name="見積-桁区切り_原価計画書(R-T社開発)_WRS新卒全体ｽｹｼﾞｭｰﾙ_WRS新卒全体ｽｹｼﾞｭｰﾙ_WRS詳細設計書format(blue)_JITEC見積_03.10.1" xfId="1945" xr:uid="{00000000-0005-0000-0000-0000B6070000}"/>
    <cellStyle name="見積桁区切り_原価計画書(R-T社開発)_WRS新卒全体ｽｹｼﾞｭｰﾙ_WRS新卒全体ｽｹｼﾞｭｰﾙ_WRS詳細設計書format(blue)_JITEC見積_03.10.1_工数内訳" xfId="1946" xr:uid="{00000000-0005-0000-0000-0000B7070000}"/>
    <cellStyle name="見積-桁区切り_原価計画書(R-T社開発)_WRS新卒全体ｽｹｼﾞｭｰﾙ_WRS新卒全体ｽｹｼﾞｭｰﾙ_WRS詳細設計書format(blue)_JITEC見積_03.10.1_工数内訳" xfId="1947" xr:uid="{00000000-0005-0000-0000-0000B8070000}"/>
    <cellStyle name="見積桁区切り_原価計画書(R-T社開発)_WRS新卒全体ｽｹｼﾞｭｰﾙ_WRS新卒全体ｽｹｼﾞｭｰﾙ_WRS詳細設計書format(blue)_JITEC見積_03.9.28" xfId="1948" xr:uid="{00000000-0005-0000-0000-0000B9070000}"/>
    <cellStyle name="見積-桁区切り_原価計画書(R-T社開発)_WRS新卒全体ｽｹｼﾞｭｰﾙ_WRS新卒全体ｽｹｼﾞｭｰﾙ_WRS詳細設計書format(blue)_JITEC見積_03.9.28" xfId="1949" xr:uid="{00000000-0005-0000-0000-0000BA070000}"/>
    <cellStyle name="見積桁区切り_原価計画書(R-T社開発)_WRS新卒全体ｽｹｼﾞｭｰﾙ_WRS新卒全体ｽｹｼﾞｭｰﾙ_WRS詳細設計書format(blue)_ソフトSS概算見積_030620" xfId="1950" xr:uid="{00000000-0005-0000-0000-0000BB070000}"/>
    <cellStyle name="見積-桁区切り_原価計画書(R-T社開発)_WRS新卒全体ｽｹｼﾞｭｰﾙ_WRS新卒全体ｽｹｼﾞｭｰﾙ_WRS詳細設計書format(blue)_ソフトSS概算見積_030620" xfId="1951" xr:uid="{00000000-0005-0000-0000-0000BC070000}"/>
    <cellStyle name="見積桁区切り_原価計画書(R-T社開発)_WRS新卒全体ｽｹｼﾞｭｰﾙ_WRS新卒全体ｽｹｼﾞｭｰﾙ_WRS詳細設計書format(blue)_ソフトSS概算見積_030620_＜3産2＞見積条件040127" xfId="1952" xr:uid="{00000000-0005-0000-0000-0000BD070000}"/>
    <cellStyle name="見積-桁区切り_原価計画書(R-T社開発)_WRS新卒全体ｽｹｼﾞｭｰﾙ_WRS新卒全体ｽｹｼﾞｭｰﾙ_WRS詳細設計書format(blue)_ソフトSS概算見積_030620_＜3産2＞見積条件040127" xfId="1953" xr:uid="{00000000-0005-0000-0000-0000BE070000}"/>
    <cellStyle name="見積桁区切り_原価計画書(R-T社開発)_WRS新卒全体ｽｹｼﾞｭｰﾙ_WRS新卒全体ｽｹｼﾞｭｰﾙ_WRS詳細設計書format(blue)_ソフトSS概算見積_030620_1" xfId="1954" xr:uid="{00000000-0005-0000-0000-0000BF070000}"/>
    <cellStyle name="見積-桁区切り_原価計画書(R-T社開発)_WRS新卒全体ｽｹｼﾞｭｰﾙ_WRS新卒全体ｽｹｼﾞｭｰﾙ_WRS詳細設計書format(blue)_ソフトSS概算見積_030620_1" xfId="1955" xr:uid="{00000000-0005-0000-0000-0000C0070000}"/>
    <cellStyle name="見積桁区切り_原価計画書(R-T社開発)_WRS新卒全体ｽｹｼﾞｭｰﾙ_WRS新卒全体ｽｹｼﾞｭｰﾙ_WRS詳細設計書format(blue)_ソフトSS概算見積_030620_JITEC見積_03.10.1" xfId="1956" xr:uid="{00000000-0005-0000-0000-0000C1070000}"/>
    <cellStyle name="見積-桁区切り_原価計画書(R-T社開発)_WRS新卒全体ｽｹｼﾞｭｰﾙ_WRS新卒全体ｽｹｼﾞｭｰﾙ_WRS詳細設計書format(blue)_ソフトSS概算見積_030620_JITEC見積_03.10.1" xfId="1957" xr:uid="{00000000-0005-0000-0000-0000C2070000}"/>
    <cellStyle name="見積桁区切り_原価計画書(R-T社開発)_WRS新卒全体ｽｹｼﾞｭｰﾙ_WRS新卒全体ｽｹｼﾞｭｰﾙ_WRS詳細設計書format(blue)_ソフトSS概算見積_030620_JITEC見積_03.10.1_工数内訳" xfId="1958" xr:uid="{00000000-0005-0000-0000-0000C3070000}"/>
    <cellStyle name="見積-桁区切り_原価計画書(R-T社開発)_WRS新卒全体ｽｹｼﾞｭｰﾙ_WRS新卒全体ｽｹｼﾞｭｰﾙ_WRS詳細設計書format(blue)_ソフトSS概算見積_030620_JITEC見積_03.10.1_工数内訳" xfId="1959" xr:uid="{00000000-0005-0000-0000-0000C4070000}"/>
    <cellStyle name="見積桁区切り_原価計画書(R-T社開発)_WRS新卒全体ｽｹｼﾞｭｰﾙ_WRS新卒全体ｽｹｼﾞｭｰﾙ_WRS詳細設計書format(blue)_ソフトSS概算見積_030620_JITEC見積_03.9.28" xfId="1960" xr:uid="{00000000-0005-0000-0000-0000C5070000}"/>
    <cellStyle name="見積-桁区切り_原価計画書(R-T社開発)_WRS新卒全体ｽｹｼﾞｭｰﾙ_WRS新卒全体ｽｹｼﾞｭｰﾙ_WRS詳細設計書format(blue)_ソフトSS概算見積_030620_JITEC見積_03.9.28" xfId="1961" xr:uid="{00000000-0005-0000-0000-0000C6070000}"/>
    <cellStyle name="見積桁区切り_原価計画書(R-T社開発)_WRS新卒全体ｽｹｼﾞｭｰﾙ_WRS新卒全体ｽｹｼﾞｭｰﾙ_WRS詳細設計書format(blue)_ソフトSS概算見積_030620_ソフトSS概算見" xfId="1962" xr:uid="{00000000-0005-0000-0000-0000C7070000}"/>
    <cellStyle name="見積-桁区切り_原価計画書(R-T社開発)_WRS新卒全体ｽｹｼﾞｭｰﾙ_WRS新卒全体ｽｹｼﾞｭｰﾙ_WRS詳細設計書format(blue)_ソフトSS概算見積_030620_ソフトSS概算見" xfId="1963" xr:uid="{00000000-0005-0000-0000-0000C8070000}"/>
    <cellStyle name="見積桁区切り_原価計画書(R-T社開発)_WRS新卒全体ｽｹｼﾞｭｰﾙ_WRS新卒全体ｽｹｼﾞｭｰﾙ_WRS詳細設計書format(blue)_ソフトSS概算見積_030620_ソフトSS概算見_＜3産2＞見積条件040127" xfId="1964" xr:uid="{00000000-0005-0000-0000-0000C9070000}"/>
    <cellStyle name="見積-桁区切り_原価計画書(R-T社開発)_WRS新卒全体ｽｹｼﾞｭｰﾙ_WRS新卒全体ｽｹｼﾞｭｰﾙ_WRS詳細設計書format(blue)_ソフトSS概算見積_030620_ソフトSS概算見_＜3産2＞見積条件040127" xfId="1965" xr:uid="{00000000-0005-0000-0000-0000CA070000}"/>
    <cellStyle name="見積桁区切り_原価計画書(R-T社開発)_WRS新卒全体ｽｹｼﾞｭｰﾙ_WRS新卒全体ｽｹｼﾞｭｰﾙ_WRS詳細設計書format(blue)_ソフトSS概算見積_030620_ソフトSS概算見_JITEC見積_03.10.1" xfId="1966" xr:uid="{00000000-0005-0000-0000-0000CB070000}"/>
    <cellStyle name="見積-桁区切り_原価計画書(R-T社開発)_WRS新卒全体ｽｹｼﾞｭｰﾙ_WRS新卒全体ｽｹｼﾞｭｰﾙ_WRS詳細設計書format(blue)_ソフトSS概算見積_030620_ソフトSS概算見_JITEC見積_03.10.1" xfId="1967" xr:uid="{00000000-0005-0000-0000-0000CC070000}"/>
    <cellStyle name="見積桁区切り_原価計画書(R-T社開発)_WRS新卒全体ｽｹｼﾞｭｰﾙ_WRS新卒全体ｽｹｼﾞｭｰﾙ_WRS詳細設計書format(blue)_ソフトSS概算見積_030620_ソフトSS概算見_JITEC見積_03.10.1_工数内訳" xfId="1968" xr:uid="{00000000-0005-0000-0000-0000CD070000}"/>
    <cellStyle name="見積-桁区切り_原価計画書(R-T社開発)_WRS新卒全体ｽｹｼﾞｭｰﾙ_WRS新卒全体ｽｹｼﾞｭｰﾙ_WRS詳細設計書format(blue)_ソフトSS概算見積_030620_ソフトSS概算見_JITEC見積_03.10.1_工数内訳" xfId="1969" xr:uid="{00000000-0005-0000-0000-0000CE070000}"/>
    <cellStyle name="見積桁区切り_原価計画書(R-T社開発)_WRS新卒全体ｽｹｼﾞｭｰﾙ_WRS新卒全体ｽｹｼﾞｭｰﾙ_WRS詳細設計書format(blue)_ソフトSS概算見積_030620_ソフトSS概算見_JITEC見積_03.9.28" xfId="1970" xr:uid="{00000000-0005-0000-0000-0000CF070000}"/>
    <cellStyle name="見積-桁区切り_原価計画書(R-T社開発)_WRS新卒全体ｽｹｼﾞｭｰﾙ_WRS新卒全体ｽｹｼﾞｭｰﾙ_WRS詳細設計書format(blue)_ソフトSS概算見積_030620_ソフトSS概算見_JITEC見積_03.9.28" xfId="1971" xr:uid="{00000000-0005-0000-0000-0000D0070000}"/>
    <cellStyle name="見積桁区切り_原価計画書(R-T社開発)_WRS新卒全体ｽｹｼﾞｭｰﾙ_WRS新卒全体ｽｹｼﾞｭｰﾙ_WRS詳細設計書format(blue)_ソフトSS概算見積_030620_ソフトSS概算見_開発見積" xfId="1972" xr:uid="{00000000-0005-0000-0000-0000D1070000}"/>
    <cellStyle name="見積-桁区切り_原価計画書(R-T社開発)_WRS新卒全体ｽｹｼﾞｭｰﾙ_WRS新卒全体ｽｹｼﾞｭｰﾙ_WRS詳細設計書format(blue)_ソフトSS概算見積_030620_ソフトSS概算見_開発見積" xfId="1973" xr:uid="{00000000-0005-0000-0000-0000D2070000}"/>
    <cellStyle name="見積桁区切り_原価計画書(R-T社開発)_WRS新卒全体ｽｹｼﾞｭｰﾙ_WRS新卒全体ｽｹｼﾞｭｰﾙ_WRS詳細設計書format(blue)_ソフトSS概算見積_030620_ソフトSS概算見積_030620" xfId="1974" xr:uid="{00000000-0005-0000-0000-0000D3070000}"/>
    <cellStyle name="見積-桁区切り_原価計画書(R-T社開発)_WRS新卒全体ｽｹｼﾞｭｰﾙ_WRS新卒全体ｽｹｼﾞｭｰﾙ_WRS詳細設計書format(blue)_ソフトSS概算見積_030620_ソフトSS概算見積_030620" xfId="1975" xr:uid="{00000000-0005-0000-0000-0000D4070000}"/>
    <cellStyle name="見積桁区切り_原価計画書(R-T社開発)_WRS新卒全体ｽｹｼﾞｭｰﾙ_WRS新卒全体ｽｹｼﾞｭｰﾙ_WRS詳細設計書format(blue)_ソフトSS概算見積_030620_ソフトSS概算見積_030627" xfId="1976" xr:uid="{00000000-0005-0000-0000-0000D5070000}"/>
    <cellStyle name="見積-桁区切り_原価計画書(R-T社開発)_WRS新卒全体ｽｹｼﾞｭｰﾙ_WRS新卒全体ｽｹｼﾞｭｰﾙ_WRS詳細設計書format(blue)_ソフトSS概算見積_030620_ソフトSS概算見積_030627" xfId="1977" xr:uid="{00000000-0005-0000-0000-0000D6070000}"/>
    <cellStyle name="見積桁区切り_原価計画書(R-T社開発)_WRS新卒全体ｽｹｼﾞｭｰﾙ_WRS新卒全体ｽｹｼﾞｭｰﾙ_WRS詳細設計書format(blue)_ソフトSS概算見積_030620_ソフトSS概算見積_030627_＜3産2＞見積条件040127" xfId="1978" xr:uid="{00000000-0005-0000-0000-0000D7070000}"/>
    <cellStyle name="見積-桁区切り_原価計画書(R-T社開発)_WRS新卒全体ｽｹｼﾞｭｰﾙ_WRS新卒全体ｽｹｼﾞｭｰﾙ_WRS詳細設計書format(blue)_ソフトSS概算見積_030620_ソフトSS概算見積_030627_＜3産2＞見積条件040127" xfId="1979" xr:uid="{00000000-0005-0000-0000-0000D8070000}"/>
    <cellStyle name="見積桁区切り_原価計画書(R-T社開発)_WRS新卒全体ｽｹｼﾞｭｰﾙ_WRS新卒全体ｽｹｼﾞｭｰﾙ_WRS詳細設計書format(blue)_ソフトSS概算見積_030620_ソフトSS概算見積_030627_1" xfId="1980" xr:uid="{00000000-0005-0000-0000-0000D9070000}"/>
    <cellStyle name="見積-桁区切り_原価計画書(R-T社開発)_WRS新卒全体ｽｹｼﾞｭｰﾙ_WRS新卒全体ｽｹｼﾞｭｰﾙ_WRS詳細設計書format(blue)_ソフトSS概算見積_030620_ソフトSS概算見積_030627_1" xfId="1981" xr:uid="{00000000-0005-0000-0000-0000DA070000}"/>
    <cellStyle name="見積桁区切り_原価計画書(R-T社開発)_WRS新卒全体ｽｹｼﾞｭｰﾙ_WRS新卒全体ｽｹｼﾞｭｰﾙ_WRS詳細設計書format(blue)_ソフトSS概算見積_030620_ソフトSS概算見積_030627_JITEC見積_03.10.1" xfId="1982" xr:uid="{00000000-0005-0000-0000-0000DB070000}"/>
    <cellStyle name="見積-桁区切り_原価計画書(R-T社開発)_WRS新卒全体ｽｹｼﾞｭｰﾙ_WRS新卒全体ｽｹｼﾞｭｰﾙ_WRS詳細設計書format(blue)_ソフトSS概算見積_030620_ソフトSS概算見積_030627_JITEC見積_03.10.1" xfId="1983" xr:uid="{00000000-0005-0000-0000-0000DC070000}"/>
    <cellStyle name="見積桁区切り_原価計画書(R-T社開発)_WRS新卒全体ｽｹｼﾞｭｰﾙ_WRS新卒全体ｽｹｼﾞｭｰﾙ_WRS詳細設計書format(blue)_ソフトSS概算見積_030620_ソフトSS概算見積_030627_JITEC見積_03.10.1_工数内訳" xfId="1984" xr:uid="{00000000-0005-0000-0000-0000DD070000}"/>
    <cellStyle name="見積-桁区切り_原価計画書(R-T社開発)_WRS新卒全体ｽｹｼﾞｭｰﾙ_WRS新卒全体ｽｹｼﾞｭｰﾙ_WRS詳細設計書format(blue)_ソフトSS概算見積_030620_ソフトSS概算見積_030627_JITEC見積_03.10.1_工数内訳" xfId="1985" xr:uid="{00000000-0005-0000-0000-0000DE070000}"/>
    <cellStyle name="見積桁区切り_原価計画書(R-T社開発)_WRS新卒全体ｽｹｼﾞｭｰﾙ_WRS新卒全体ｽｹｼﾞｭｰﾙ_WRS詳細設計書format(blue)_ソフトSS概算見積_030620_ソフトSS概算見積_030627_JITEC見積_03.9.28" xfId="1986" xr:uid="{00000000-0005-0000-0000-0000DF070000}"/>
    <cellStyle name="見積-桁区切り_原価計画書(R-T社開発)_WRS新卒全体ｽｹｼﾞｭｰﾙ_WRS新卒全体ｽｹｼﾞｭｰﾙ_WRS詳細設計書format(blue)_ソフトSS概算見積_030620_ソフトSS概算見積_030627_JITEC見積_03.9.28" xfId="1987" xr:uid="{00000000-0005-0000-0000-0000E0070000}"/>
    <cellStyle name="見積桁区切り_原価計画書(R-T社開発)_WRS新卒全体ｽｹｼﾞｭｰﾙ_WRS新卒全体ｽｹｼﾞｭｰﾙ_WRS詳細設計書format(blue)_ソフトSS概算見積_030620_ソフトSS概算見積_030627_ソフトSS概算見積_030627" xfId="1988" xr:uid="{00000000-0005-0000-0000-0000E1070000}"/>
    <cellStyle name="見積-桁区切り_原価計画書(R-T社開発)_WRS新卒全体ｽｹｼﾞｭｰﾙ_WRS新卒全体ｽｹｼﾞｭｰﾙ_WRS詳細設計書format(blue)_ソフトSS概算見積_030620_ソフトSS概算見積_030627_ソフトSS概算見積_030627" xfId="1989" xr:uid="{00000000-0005-0000-0000-0000E2070000}"/>
    <cellStyle name="見積桁区切り_原価計画書(R-T社開発)_WRS新卒全体ｽｹｼﾞｭｰﾙ_WRS新卒全体ｽｹｼﾞｭｰﾙ_WRS詳細設計書format(blue)_ソフトSS概算見積_030620_ソフトSS概算見積_030627_開発見積" xfId="1990" xr:uid="{00000000-0005-0000-0000-0000E3070000}"/>
    <cellStyle name="見積-桁区切り_原価計画書(R-T社開発)_WRS新卒全体ｽｹｼﾞｭｰﾙ_WRS新卒全体ｽｹｼﾞｭｰﾙ_WRS詳細設計書format(blue)_ソフトSS概算見積_030620_ソフトSS概算見積_030627_開発見積" xfId="1991" xr:uid="{00000000-0005-0000-0000-0000E4070000}"/>
    <cellStyle name="見積桁区切り_原価計画書(R-T社開発)_WRS新卒全体ｽｹｼﾞｭｰﾙ_WRS新卒全体ｽｹｼﾞｭｰﾙ_WRS詳細設計書format(blue)_ソフトSS概算見積_030620_開発見積" xfId="1992" xr:uid="{00000000-0005-0000-0000-0000E5070000}"/>
    <cellStyle name="見積-桁区切り_原価計画書(R-T社開発)_WRS新卒全体ｽｹｼﾞｭｰﾙ_WRS新卒全体ｽｹｼﾞｭｰﾙ_WRS詳細設計書format(blue)_ソフトSS概算見積_030620_開発見積" xfId="1993" xr:uid="{00000000-0005-0000-0000-0000E6070000}"/>
    <cellStyle name="見積桁区切り_原価計画書(R-T社開発)_WRS新卒全体ｽｹｼﾞｭｰﾙ_WRS新卒全体ｽｹｼﾞｭｰﾙ_WRS詳細設計書format(blue)_ソフトSS概算見積_03062１営業修正" xfId="1994" xr:uid="{00000000-0005-0000-0000-0000E7070000}"/>
    <cellStyle name="見積-桁区切り_原価計画書(R-T社開発)_WRS新卒全体ｽｹｼﾞｭｰﾙ_WRS新卒全体ｽｹｼﾞｭｰﾙ_WRS詳細設計書format(blue)_ソフトSS概算見積_03062１営業修正" xfId="1995" xr:uid="{00000000-0005-0000-0000-0000E8070000}"/>
    <cellStyle name="見積桁区切り_原価計画書(R-T社開発)_WRS新卒全体ｽｹｼﾞｭｰﾙ_WRS新卒全体ｽｹｼﾞｭｰﾙ_WRS詳細設計書format(blue)_ソフトSS概算見積_03062１営業修正_＜3産2＞見積条件040127" xfId="1996" xr:uid="{00000000-0005-0000-0000-0000E9070000}"/>
    <cellStyle name="見積-桁区切り_原価計画書(R-T社開発)_WRS新卒全体ｽｹｼﾞｭｰﾙ_WRS新卒全体ｽｹｼﾞｭｰﾙ_WRS詳細設計書format(blue)_ソフトSS概算見積_03062１営業修正_＜3産2＞見積条件040127" xfId="1997" xr:uid="{00000000-0005-0000-0000-0000EA070000}"/>
    <cellStyle name="見積桁区切り_原価計画書(R-T社開発)_WRS新卒全体ｽｹｼﾞｭｰﾙ_WRS新卒全体ｽｹｼﾞｭｰﾙ_WRS詳細設計書format(blue)_ソフトSS概算見積_03062１営業修正_JITEC見積_03.10.1" xfId="1998" xr:uid="{00000000-0005-0000-0000-0000EB070000}"/>
    <cellStyle name="見積-桁区切り_原価計画書(R-T社開発)_WRS新卒全体ｽｹｼﾞｭｰﾙ_WRS新卒全体ｽｹｼﾞｭｰﾙ_WRS詳細設計書format(blue)_ソフトSS概算見積_03062１営業修正_JITEC見積_03.10.1" xfId="1999" xr:uid="{00000000-0005-0000-0000-0000EC070000}"/>
    <cellStyle name="見積桁区切り_原価計画書(R-T社開発)_WRS新卒全体ｽｹｼﾞｭｰﾙ_WRS新卒全体ｽｹｼﾞｭｰﾙ_WRS詳細設計書format(blue)_ソフトSS概算見積_03062１営業修正_JITEC見積_03.10.1_工数内訳" xfId="2000" xr:uid="{00000000-0005-0000-0000-0000ED070000}"/>
    <cellStyle name="見積-桁区切り_原価計画書(R-T社開発)_WRS新卒全体ｽｹｼﾞｭｰﾙ_WRS新卒全体ｽｹｼﾞｭｰﾙ_WRS詳細設計書format(blue)_ソフトSS概算見積_03062１営業修正_JITEC見積_03.10.1_工数内訳" xfId="2001" xr:uid="{00000000-0005-0000-0000-0000EE070000}"/>
    <cellStyle name="見積桁区切り_原価計画書(R-T社開発)_WRS新卒全体ｽｹｼﾞｭｰﾙ_WRS新卒全体ｽｹｼﾞｭｰﾙ_WRS詳細設計書format(blue)_ソフトSS概算見積_03062１営業修正_JITEC見積_03.9.28" xfId="2002" xr:uid="{00000000-0005-0000-0000-0000EF070000}"/>
    <cellStyle name="見積-桁区切り_原価計画書(R-T社開発)_WRS新卒全体ｽｹｼﾞｭｰﾙ_WRS新卒全体ｽｹｼﾞｭｰﾙ_WRS詳細設計書format(blue)_ソフトSS概算見積_03062１営業修正_JITEC見積_03.9.28" xfId="2003" xr:uid="{00000000-0005-0000-0000-0000F0070000}"/>
    <cellStyle name="見積桁区切り_原価計画書(R-T社開発)_WRS新卒全体ｽｹｼﾞｭｰﾙ_WRS新卒全体ｽｹｼﾞｭｰﾙ_WRS詳細設計書format(blue)_ソフトSS概算見積_03062１営業修正_ソフトSS概算見" xfId="2004" xr:uid="{00000000-0005-0000-0000-0000F1070000}"/>
    <cellStyle name="見積-桁区切り_原価計画書(R-T社開発)_WRS新卒全体ｽｹｼﾞｭｰﾙ_WRS新卒全体ｽｹｼﾞｭｰﾙ_WRS詳細設計書format(blue)_ソフトSS概算見積_03062１営業修正_ソフトSS概算見" xfId="2005" xr:uid="{00000000-0005-0000-0000-0000F2070000}"/>
    <cellStyle name="見積桁区切り_原価計画書(R-T社開発)_WRS新卒全体ｽｹｼﾞｭｰﾙ_WRS新卒全体ｽｹｼﾞｭｰﾙ_WRS詳細設計書format(blue)_ソフトSS概算見積_03062１営業修正_ソフトSS概算見_＜3産2＞見積条件040127" xfId="2006" xr:uid="{00000000-0005-0000-0000-0000F3070000}"/>
    <cellStyle name="見積-桁区切り_原価計画書(R-T社開発)_WRS新卒全体ｽｹｼﾞｭｰﾙ_WRS新卒全体ｽｹｼﾞｭｰﾙ_WRS詳細設計書format(blue)_ソフトSS概算見積_03062１営業修正_ソフトSS概算見_＜3産2＞見積条件040127" xfId="2007" xr:uid="{00000000-0005-0000-0000-0000F4070000}"/>
    <cellStyle name="見積桁区切り_原価計画書(R-T社開発)_WRS新卒全体ｽｹｼﾞｭｰﾙ_WRS新卒全体ｽｹｼﾞｭｰﾙ_WRS詳細設計書format(blue)_ソフトSS概算見積_03062１営業修正_ソフトSS概算見_JITEC見積_03.10.1" xfId="2008" xr:uid="{00000000-0005-0000-0000-0000F5070000}"/>
    <cellStyle name="見積-桁区切り_原価計画書(R-T社開発)_WRS新卒全体ｽｹｼﾞｭｰﾙ_WRS新卒全体ｽｹｼﾞｭｰﾙ_WRS詳細設計書format(blue)_ソフトSS概算見積_03062１営業修正_ソフトSS概算見_JITEC見積_03.10.1" xfId="2009" xr:uid="{00000000-0005-0000-0000-0000F6070000}"/>
    <cellStyle name="見積桁区切り_原価計画書(R-T社開発)_WRS新卒全体ｽｹｼﾞｭｰﾙ_WRS新卒全体ｽｹｼﾞｭｰﾙ_WRS詳細設計書format(blue)_ソフトSS概算見積_03062１営業修正_ソフトSS概算見_JITEC見積_03.10.1_工数内訳" xfId="2010" xr:uid="{00000000-0005-0000-0000-0000F7070000}"/>
    <cellStyle name="見積-桁区切り_原価計画書(R-T社開発)_WRS新卒全体ｽｹｼﾞｭｰﾙ_WRS新卒全体ｽｹｼﾞｭｰﾙ_WRS詳細設計書format(blue)_ソフトSS概算見積_03062１営業修正_ソフトSS概算見_JITEC見積_03.10.1_工数内訳" xfId="2011" xr:uid="{00000000-0005-0000-0000-0000F8070000}"/>
    <cellStyle name="見積桁区切り_原価計画書(R-T社開発)_WRS新卒全体ｽｹｼﾞｭｰﾙ_WRS新卒全体ｽｹｼﾞｭｰﾙ_WRS詳細設計書format(blue)_ソフトSS概算見積_03062１営業修正_ソフトSS概算見_JITEC見積_03.9.28" xfId="2012" xr:uid="{00000000-0005-0000-0000-0000F9070000}"/>
    <cellStyle name="見積-桁区切り_原価計画書(R-T社開発)_WRS新卒全体ｽｹｼﾞｭｰﾙ_WRS新卒全体ｽｹｼﾞｭｰﾙ_WRS詳細設計書format(blue)_ソフトSS概算見積_03062１営業修正_ソフトSS概算見_JITEC見積_03.9.28" xfId="2013" xr:uid="{00000000-0005-0000-0000-0000FA070000}"/>
    <cellStyle name="見積桁区切り_原価計画書(R-T社開発)_WRS新卒全体ｽｹｼﾞｭｰﾙ_WRS新卒全体ｽｹｼﾞｭｰﾙ_WRS詳細設計書format(blue)_ソフトSS概算見積_03062１営業修正_ソフトSS概算見_開発見積" xfId="2014" xr:uid="{00000000-0005-0000-0000-0000FB070000}"/>
    <cellStyle name="見積-桁区切り_原価計画書(R-T社開発)_WRS新卒全体ｽｹｼﾞｭｰﾙ_WRS新卒全体ｽｹｼﾞｭｰﾙ_WRS詳細設計書format(blue)_ソフトSS概算見積_03062１営業修正_ソフトSS概算見_開発見積" xfId="2015" xr:uid="{00000000-0005-0000-0000-0000FC070000}"/>
    <cellStyle name="見積桁区切り_原価計画書(R-T社開発)_WRS新卒全体ｽｹｼﾞｭｰﾙ_WRS新卒全体ｽｹｼﾞｭｰﾙ_WRS詳細設計書format(blue)_ソフトSS概算見積_03062１営業修正_開発見積" xfId="2016" xr:uid="{00000000-0005-0000-0000-0000FD070000}"/>
    <cellStyle name="見積-桁区切り_原価計画書(R-T社開発)_WRS新卒全体ｽｹｼﾞｭｰﾙ_WRS新卒全体ｽｹｼﾞｭｰﾙ_WRS詳細設計書format(blue)_ソフトSS概算見積_03062１営業修正_開発見積" xfId="2017" xr:uid="{00000000-0005-0000-0000-0000FE070000}"/>
    <cellStyle name="見積桁区切り_原価計画書(R-T社開発)_WRS新卒全体ｽｹｼﾞｭｰﾙ_WRS新卒全体ｽｹｼﾞｭｰﾙ_WRS詳細設計書format(blue)_ソフトSS概算見積_030627" xfId="2018" xr:uid="{00000000-0005-0000-0000-0000FF070000}"/>
    <cellStyle name="見積-桁区切り_原価計画書(R-T社開発)_WRS新卒全体ｽｹｼﾞｭｰﾙ_WRS新卒全体ｽｹｼﾞｭｰﾙ_WRS詳細設計書format(blue)_ソフトSS概算見積_030627" xfId="2019" xr:uid="{00000000-0005-0000-0000-000000080000}"/>
    <cellStyle name="見積桁区切り_原価計画書(R-T社開発)_WRS新卒全体ｽｹｼﾞｭｰﾙ_WRS新卒全体ｽｹｼﾞｭｰﾙ_WRS詳細設計書format(blue)_開発見積" xfId="2020" xr:uid="{00000000-0005-0000-0000-000001080000}"/>
    <cellStyle name="見積-桁区切り_原価計画書(R-T社開発)_WRS新卒全体ｽｹｼﾞｭｰﾙ_WRS新卒全体ｽｹｼﾞｭｰﾙ_WRS詳細設計書format(blue)_開発見積" xfId="2021" xr:uid="{00000000-0005-0000-0000-000002080000}"/>
    <cellStyle name="見積桁区切り_原価計画書(R-T社開発)_WRS新卒全体ｽｹｼﾞｭｰﾙ_WRS新卒全体ｽｹｼﾞｭｰﾙ_WRS詳細設計書format(blue)_自治体向けｻｲﾄ構築機能整理表_Ver2" xfId="2022" xr:uid="{00000000-0005-0000-0000-000003080000}"/>
    <cellStyle name="見積-桁区切り_原価計画書(R-T社開発)_WRS新卒全体ｽｹｼﾞｭｰﾙ_WRS新卒全体ｽｹｼﾞｭｰﾙ_WRS詳細設計書format(blue)_自治体向けｻｲﾄ構築機能整理表_Ver2" xfId="2023" xr:uid="{00000000-0005-0000-0000-000004080000}"/>
    <cellStyle name="見積桁区切り_原価計画書(R-T社開発)_WRS新卒全体ｽｹｼﾞｭｰﾙ_WRS新卒全体ｽｹｼﾞｭｰﾙ_WRS新卒全体ｽｹｼﾞｭｰﾙ" xfId="2024" xr:uid="{00000000-0005-0000-0000-000005080000}"/>
    <cellStyle name="見積-桁区切り_原価計画書(R-T社開発)_WRS新卒全体ｽｹｼﾞｭｰﾙ_WRS新卒全体ｽｹｼﾞｭｰﾙ_WRS新卒全体ｽｹｼﾞｭｰﾙ" xfId="2025" xr:uid="{00000000-0005-0000-0000-000006080000}"/>
    <cellStyle name="見積桁区切り_原価計画書(R-T社開発)_WRS新卒全体ｽｹｼﾞｭｰﾙ_WRS新卒全体ｽｹｼﾞｭｰﾙ_WRS新卒全体ｽｹｼﾞｭｰﾙ_＜3産2＞見積条件040127" xfId="2026" xr:uid="{00000000-0005-0000-0000-000007080000}"/>
    <cellStyle name="見積-桁区切り_原価計画書(R-T社開発)_WRS新卒全体ｽｹｼﾞｭｰﾙ_WRS新卒全体ｽｹｼﾞｭｰﾙ_WRS新卒全体ｽｹｼﾞｭｰﾙ_＜3産2＞見積条件040127" xfId="2027" xr:uid="{00000000-0005-0000-0000-000008080000}"/>
    <cellStyle name="見積桁区切り_原価計画書(R-T社開発)_WRS新卒全体ｽｹｼﾞｭｰﾙ_WRS新卒全体ｽｹｼﾞｭｰﾙ_WRS新卒全体ｽｹｼﾞｭｰﾙ_JITEC見積_03.10.1" xfId="2028" xr:uid="{00000000-0005-0000-0000-000009080000}"/>
    <cellStyle name="見積-桁区切り_原価計画書(R-T社開発)_WRS新卒全体ｽｹｼﾞｭｰﾙ_WRS新卒全体ｽｹｼﾞｭｰﾙ_WRS新卒全体ｽｹｼﾞｭｰﾙ_JITEC見積_03.10.1" xfId="2029" xr:uid="{00000000-0005-0000-0000-00000A080000}"/>
    <cellStyle name="見積桁区切り_原価計画書(R-T社開発)_WRS新卒全体ｽｹｼﾞｭｰﾙ_WRS新卒全体ｽｹｼﾞｭｰﾙ_WRS新卒全体ｽｹｼﾞｭｰﾙ_JITEC見積_03.10.1_工数内訳" xfId="2030" xr:uid="{00000000-0005-0000-0000-00000B080000}"/>
    <cellStyle name="見積-桁区切り_原価計画書(R-T社開発)_WRS新卒全体ｽｹｼﾞｭｰﾙ_WRS新卒全体ｽｹｼﾞｭｰﾙ_WRS新卒全体ｽｹｼﾞｭｰﾙ_JITEC見積_03.10.1_工数内訳" xfId="2031" xr:uid="{00000000-0005-0000-0000-00000C080000}"/>
    <cellStyle name="見積桁区切り_原価計画書(R-T社開発)_WRS新卒全体ｽｹｼﾞｭｰﾙ_WRS新卒全体ｽｹｼﾞｭｰﾙ_WRS新卒全体ｽｹｼﾞｭｰﾙ_JITEC見積_03.9.28" xfId="2032" xr:uid="{00000000-0005-0000-0000-00000D080000}"/>
    <cellStyle name="見積-桁区切り_原価計画書(R-T社開発)_WRS新卒全体ｽｹｼﾞｭｰﾙ_WRS新卒全体ｽｹｼﾞｭｰﾙ_WRS新卒全体ｽｹｼﾞｭｰﾙ_JITEC見積_03.9.28" xfId="2033" xr:uid="{00000000-0005-0000-0000-00000E080000}"/>
    <cellStyle name="見積桁区切り_原価計画書(R-T社開発)_WRS新卒全体ｽｹｼﾞｭｰﾙ_WRS新卒全体ｽｹｼﾞｭｰﾙ_WRS新卒全体ｽｹｼﾞｭｰﾙ_ソフトSS概算見積_030620" xfId="2034" xr:uid="{00000000-0005-0000-0000-00000F080000}"/>
    <cellStyle name="見積-桁区切り_原価計画書(R-T社開発)_WRS新卒全体ｽｹｼﾞｭｰﾙ_WRS新卒全体ｽｹｼﾞｭｰﾙ_WRS新卒全体ｽｹｼﾞｭｰﾙ_ソフトSS概算見積_030620" xfId="2035" xr:uid="{00000000-0005-0000-0000-000010080000}"/>
    <cellStyle name="見積桁区切り_原価計画書(R-T社開発)_WRS新卒全体ｽｹｼﾞｭｰﾙ_WRS新卒全体ｽｹｼﾞｭｰﾙ_WRS新卒全体ｽｹｼﾞｭｰﾙ_ソフトSS概算見積_030620_＜3産2＞見積条件040127" xfId="2036" xr:uid="{00000000-0005-0000-0000-000011080000}"/>
    <cellStyle name="見積-桁区切り_原価計画書(R-T社開発)_WRS新卒全体ｽｹｼﾞｭｰﾙ_WRS新卒全体ｽｹｼﾞｭｰﾙ_WRS新卒全体ｽｹｼﾞｭｰﾙ_ソフトSS概算見積_030620_＜3産2＞見積条件040127" xfId="2037" xr:uid="{00000000-0005-0000-0000-000012080000}"/>
    <cellStyle name="見積桁区切り_原価計画書(R-T社開発)_WRS新卒全体ｽｹｼﾞｭｰﾙ_WRS新卒全体ｽｹｼﾞｭｰﾙ_WRS新卒全体ｽｹｼﾞｭｰﾙ_ソフトSS概算見積_030620_1" xfId="2038" xr:uid="{00000000-0005-0000-0000-000013080000}"/>
    <cellStyle name="見積-桁区切り_原価計画書(R-T社開発)_WRS新卒全体ｽｹｼﾞｭｰﾙ_WRS新卒全体ｽｹｼﾞｭｰﾙ_WRS新卒全体ｽｹｼﾞｭｰﾙ_ソフトSS概算見積_030620_1" xfId="2039" xr:uid="{00000000-0005-0000-0000-000014080000}"/>
    <cellStyle name="見積桁区切り_原価計画書(R-T社開発)_WRS新卒全体ｽｹｼﾞｭｰﾙ_WRS新卒全体ｽｹｼﾞｭｰﾙ_WRS新卒全体ｽｹｼﾞｭｰﾙ_ソフトSS概算見積_030620_JITEC見積_03.10.1" xfId="2040" xr:uid="{00000000-0005-0000-0000-000015080000}"/>
    <cellStyle name="見積-桁区切り_原価計画書(R-T社開発)_WRS新卒全体ｽｹｼﾞｭｰﾙ_WRS新卒全体ｽｹｼﾞｭｰﾙ_WRS新卒全体ｽｹｼﾞｭｰﾙ_ソフトSS概算見積_030620_JITEC見積_03.10.1" xfId="2041" xr:uid="{00000000-0005-0000-0000-000016080000}"/>
    <cellStyle name="見積桁区切り_原価計画書(R-T社開発)_WRS新卒全体ｽｹｼﾞｭｰﾙ_WRS新卒全体ｽｹｼﾞｭｰﾙ_WRS新卒全体ｽｹｼﾞｭｰﾙ_ソフトSS概算見積_030620_JITEC見積_03.10.1_工数内訳" xfId="2042" xr:uid="{00000000-0005-0000-0000-000017080000}"/>
    <cellStyle name="見積-桁区切り_原価計画書(R-T社開発)_WRS新卒全体ｽｹｼﾞｭｰﾙ_WRS新卒全体ｽｹｼﾞｭｰﾙ_WRS新卒全体ｽｹｼﾞｭｰﾙ_ソフトSS概算見積_030620_JITEC見積_03.10.1_工数内訳" xfId="2043" xr:uid="{00000000-0005-0000-0000-000018080000}"/>
    <cellStyle name="見積桁区切り_原価計画書(R-T社開発)_WRS新卒全体ｽｹｼﾞｭｰﾙ_WRS新卒全体ｽｹｼﾞｭｰﾙ_WRS新卒全体ｽｹｼﾞｭｰﾙ_ソフトSS概算見積_030620_JITEC見積_03.9.28" xfId="2044" xr:uid="{00000000-0005-0000-0000-000019080000}"/>
    <cellStyle name="見積-桁区切り_原価計画書(R-T社開発)_WRS新卒全体ｽｹｼﾞｭｰﾙ_WRS新卒全体ｽｹｼﾞｭｰﾙ_WRS新卒全体ｽｹｼﾞｭｰﾙ_ソフトSS概算見積_030620_JITEC見積_03.9.28" xfId="2045" xr:uid="{00000000-0005-0000-0000-00001A080000}"/>
    <cellStyle name="見積桁区切り_原価計画書(R-T社開発)_WRS新卒全体ｽｹｼﾞｭｰﾙ_WRS新卒全体ｽｹｼﾞｭｰﾙ_WRS新卒全体ｽｹｼﾞｭｰﾙ_ソフトSS概算見積_030620_ソフトSS概算見" xfId="2046" xr:uid="{00000000-0005-0000-0000-00001B080000}"/>
    <cellStyle name="見積-桁区切り_原価計画書(R-T社開発)_WRS新卒全体ｽｹｼﾞｭｰﾙ_WRS新卒全体ｽｹｼﾞｭｰﾙ_WRS新卒全体ｽｹｼﾞｭｰﾙ_ソフトSS概算見積_030620_ソフトSS概算見" xfId="2047" xr:uid="{00000000-0005-0000-0000-00001C080000}"/>
    <cellStyle name="見積桁区切り_原価計画書(R-T社開発)_WRS新卒全体ｽｹｼﾞｭｰﾙ_WRS新卒全体ｽｹｼﾞｭｰﾙ_WRS新卒全体ｽｹｼﾞｭｰﾙ_ソフトSS概算見積_030620_ソフトSS概算見_＜3産2＞見積条件040127" xfId="2048" xr:uid="{00000000-0005-0000-0000-00001D080000}"/>
    <cellStyle name="見積-桁区切り_原価計画書(R-T社開発)_WRS新卒全体ｽｹｼﾞｭｰﾙ_WRS新卒全体ｽｹｼﾞｭｰﾙ_WRS新卒全体ｽｹｼﾞｭｰﾙ_ソフトSS概算見積_030620_ソフトSS概算見_＜3産2＞見積条件040127" xfId="2049" xr:uid="{00000000-0005-0000-0000-00001E080000}"/>
    <cellStyle name="見積桁区切り_原価計画書(R-T社開発)_WRS新卒全体ｽｹｼﾞｭｰﾙ_WRS新卒全体ｽｹｼﾞｭｰﾙ_WRS新卒全体ｽｹｼﾞｭｰﾙ_ソフトSS概算見積_030620_ソフトSS概算見_JITEC見積_03.10.1" xfId="2050" xr:uid="{00000000-0005-0000-0000-00001F080000}"/>
    <cellStyle name="見積-桁区切り_原価計画書(R-T社開発)_WRS新卒全体ｽｹｼﾞｭｰﾙ_WRS新卒全体ｽｹｼﾞｭｰﾙ_WRS新卒全体ｽｹｼﾞｭｰﾙ_ソフトSS概算見積_030620_ソフトSS概算見_JITEC見積_03.10.1" xfId="2051" xr:uid="{00000000-0005-0000-0000-000020080000}"/>
    <cellStyle name="見積桁区切り_原価計画書(R-T社開発)_WRS新卒全体ｽｹｼﾞｭｰﾙ_WRS新卒全体ｽｹｼﾞｭｰﾙ_WRS新卒全体ｽｹｼﾞｭｰﾙ_ソフトSS概算見積_030620_ソフトSS概算見_JITEC見積_03.10.1_工数内訳" xfId="2052" xr:uid="{00000000-0005-0000-0000-000021080000}"/>
    <cellStyle name="見積-桁区切り_原価計画書(R-T社開発)_WRS新卒全体ｽｹｼﾞｭｰﾙ_WRS新卒全体ｽｹｼﾞｭｰﾙ_WRS新卒全体ｽｹｼﾞｭｰﾙ_ソフトSS概算見積_030620_ソフトSS概算見_JITEC見積_03.10.1_工数内訳" xfId="2053" xr:uid="{00000000-0005-0000-0000-000022080000}"/>
    <cellStyle name="見積桁区切り_原価計画書(R-T社開発)_WRS新卒全体ｽｹｼﾞｭｰﾙ_WRS新卒全体ｽｹｼﾞｭｰﾙ_WRS新卒全体ｽｹｼﾞｭｰﾙ_ソフトSS概算見積_030620_ソフトSS概算見_JITEC見積_03.9.28" xfId="2054" xr:uid="{00000000-0005-0000-0000-000023080000}"/>
    <cellStyle name="見積-桁区切り_原価計画書(R-T社開発)_WRS新卒全体ｽｹｼﾞｭｰﾙ_WRS新卒全体ｽｹｼﾞｭｰﾙ_WRS新卒全体ｽｹｼﾞｭｰﾙ_ソフトSS概算見積_030620_ソフトSS概算見_JITEC見積_03.9.28" xfId="2055" xr:uid="{00000000-0005-0000-0000-000024080000}"/>
    <cellStyle name="見積桁区切り_原価計画書(R-T社開発)_WRS新卒全体ｽｹｼﾞｭｰﾙ_WRS新卒全体ｽｹｼﾞｭｰﾙ_WRS新卒全体ｽｹｼﾞｭｰﾙ_ソフトSS概算見積_030620_ソフトSS概算見_開発見積" xfId="2056" xr:uid="{00000000-0005-0000-0000-000025080000}"/>
    <cellStyle name="見積-桁区切り_原価計画書(R-T社開発)_WRS新卒全体ｽｹｼﾞｭｰﾙ_WRS新卒全体ｽｹｼﾞｭｰﾙ_WRS新卒全体ｽｹｼﾞｭｰﾙ_ソフトSS概算見積_030620_ソフトSS概算見_開発見積" xfId="2057" xr:uid="{00000000-0005-0000-0000-000026080000}"/>
    <cellStyle name="見積桁区切り_原価計画書(R-T社開発)_WRS新卒全体ｽｹｼﾞｭｰﾙ_WRS新卒全体ｽｹｼﾞｭｰﾙ_WRS新卒全体ｽｹｼﾞｭｰﾙ_ソフトSS概算見積_030620_ソフトSS概算見積_030620" xfId="2058" xr:uid="{00000000-0005-0000-0000-000027080000}"/>
    <cellStyle name="見積-桁区切り_原価計画書(R-T社開発)_WRS新卒全体ｽｹｼﾞｭｰﾙ_WRS新卒全体ｽｹｼﾞｭｰﾙ_WRS新卒全体ｽｹｼﾞｭｰﾙ_ソフトSS概算見積_030620_ソフトSS概算見積_030620" xfId="2059" xr:uid="{00000000-0005-0000-0000-000028080000}"/>
    <cellStyle name="見積桁区切り_原価計画書(R-T社開発)_WRS新卒全体ｽｹｼﾞｭｰﾙ_WRS新卒全体ｽｹｼﾞｭｰﾙ_WRS新卒全体ｽｹｼﾞｭｰﾙ_ソフトSS概算見積_030620_ソフトSS概算見積_030627" xfId="2060" xr:uid="{00000000-0005-0000-0000-000029080000}"/>
    <cellStyle name="見積-桁区切り_原価計画書(R-T社開発)_WRS新卒全体ｽｹｼﾞｭｰﾙ_WRS新卒全体ｽｹｼﾞｭｰﾙ_WRS新卒全体ｽｹｼﾞｭｰﾙ_ソフトSS概算見積_030620_ソフトSS概算見積_030627" xfId="2061" xr:uid="{00000000-0005-0000-0000-00002A080000}"/>
    <cellStyle name="見積桁区切り_原価計画書(R-T社開発)_WRS新卒全体ｽｹｼﾞｭｰﾙ_WRS新卒全体ｽｹｼﾞｭｰﾙ_WRS新卒全体ｽｹｼﾞｭｰﾙ_ソフトSS概算見積_030620_ソフトSS概算見積_030627_＜3産2＞見積条件040127" xfId="2062" xr:uid="{00000000-0005-0000-0000-00002B080000}"/>
    <cellStyle name="見積-桁区切り_原価計画書(R-T社開発)_WRS新卒全体ｽｹｼﾞｭｰﾙ_WRS新卒全体ｽｹｼﾞｭｰﾙ_WRS新卒全体ｽｹｼﾞｭｰﾙ_ソフトSS概算見積_030620_ソフトSS概算見積_030627_＜3産2＞見積条件040127" xfId="2063" xr:uid="{00000000-0005-0000-0000-00002C080000}"/>
    <cellStyle name="見積桁区切り_原価計画書(R-T社開発)_WRS新卒全体ｽｹｼﾞｭｰﾙ_WRS新卒全体ｽｹｼﾞｭｰﾙ_WRS新卒全体ｽｹｼﾞｭｰﾙ_ソフトSS概算見積_030620_ソフトSS概算見積_030627_1" xfId="2064" xr:uid="{00000000-0005-0000-0000-00002D080000}"/>
    <cellStyle name="見積-桁区切り_原価計画書(R-T社開発)_WRS新卒全体ｽｹｼﾞｭｰﾙ_WRS新卒全体ｽｹｼﾞｭｰﾙ_WRS新卒全体ｽｹｼﾞｭｰﾙ_ソフトSS概算見積_030620_ソフトSS概算見積_030627_1" xfId="2065" xr:uid="{00000000-0005-0000-0000-00002E080000}"/>
    <cellStyle name="見積桁区切り_原価計画書(R-T社開発)_WRS新卒全体ｽｹｼﾞｭｰﾙ_WRS新卒全体ｽｹｼﾞｭｰﾙ_WRS新卒全体ｽｹｼﾞｭｰﾙ_ソフトSS概算見積_030620_ソフトSS概算見積_030627_JITEC見積_03.10.1" xfId="2066" xr:uid="{00000000-0005-0000-0000-00002F080000}"/>
    <cellStyle name="見積-桁区切り_原価計画書(R-T社開発)_WRS新卒全体ｽｹｼﾞｭｰﾙ_WRS新卒全体ｽｹｼﾞｭｰﾙ_WRS新卒全体ｽｹｼﾞｭｰﾙ_ソフトSS概算見積_030620_ソフトSS概算見積_030627_JITEC見積_03.10.1" xfId="2067" xr:uid="{00000000-0005-0000-0000-000030080000}"/>
    <cellStyle name="見積桁区切り_原価計画書(R-T社開発)_WRS新卒全体ｽｹｼﾞｭｰﾙ_WRS新卒全体ｽｹｼﾞｭｰﾙ_WRS新卒全体ｽｹｼﾞｭｰﾙ_ソフトSS概算見積_030620_ソフトSS概算見積_030627_JITEC見積_03.10.1_工数内訳" xfId="2068" xr:uid="{00000000-0005-0000-0000-000031080000}"/>
    <cellStyle name="見積-桁区切り_原価計画書(R-T社開発)_WRS新卒全体ｽｹｼﾞｭｰﾙ_WRS新卒全体ｽｹｼﾞｭｰﾙ_WRS新卒全体ｽｹｼﾞｭｰﾙ_ソフトSS概算見積_030620_ソフトSS概算見積_030627_JITEC見積_03.10.1_工数内訳" xfId="2069" xr:uid="{00000000-0005-0000-0000-000032080000}"/>
    <cellStyle name="見積桁区切り_原価計画書(R-T社開発)_WRS新卒全体ｽｹｼﾞｭｰﾙ_WRS新卒全体ｽｹｼﾞｭｰﾙ_WRS新卒全体ｽｹｼﾞｭｰﾙ_ソフトSS概算見積_030620_ソフトSS概算見積_030627_JITEC見積_03.9.28" xfId="2070" xr:uid="{00000000-0005-0000-0000-000033080000}"/>
    <cellStyle name="見積-桁区切り_原価計画書(R-T社開発)_WRS新卒全体ｽｹｼﾞｭｰﾙ_WRS新卒全体ｽｹｼﾞｭｰﾙ_WRS新卒全体ｽｹｼﾞｭｰﾙ_ソフトSS概算見積_030620_ソフトSS概算見積_030627_JITEC見積_03.9.28" xfId="2071" xr:uid="{00000000-0005-0000-0000-000034080000}"/>
    <cellStyle name="見積桁区切り_原価計画書(R-T社開発)_WRS新卒全体ｽｹｼﾞｭｰﾙ_WRS新卒全体ｽｹｼﾞｭｰﾙ_WRS新卒全体ｽｹｼﾞｭｰﾙ_ソフトSS概算見積_030620_ソフトSS概算見積_030627_ソフトSS概算見積_030627" xfId="2072" xr:uid="{00000000-0005-0000-0000-000035080000}"/>
    <cellStyle name="見積-桁区切り_原価計画書(R-T社開発)_WRS新卒全体ｽｹｼﾞｭｰﾙ_WRS新卒全体ｽｹｼﾞｭｰﾙ_WRS新卒全体ｽｹｼﾞｭｰﾙ_ソフトSS概算見積_030620_ソフトSS概算見積_030627_ソフトSS概算見積_030627" xfId="2073" xr:uid="{00000000-0005-0000-0000-000036080000}"/>
    <cellStyle name="見積桁区切り_原価計画書(R-T社開発)_WRS新卒全体ｽｹｼﾞｭｰﾙ_WRS新卒全体ｽｹｼﾞｭｰﾙ_WRS新卒全体ｽｹｼﾞｭｰﾙ_ソフトSS概算見積_030620_ソフトSS概算見積_030627_開発見積" xfId="2074" xr:uid="{00000000-0005-0000-0000-000037080000}"/>
    <cellStyle name="見積-桁区切り_原価計画書(R-T社開発)_WRS新卒全体ｽｹｼﾞｭｰﾙ_WRS新卒全体ｽｹｼﾞｭｰﾙ_WRS新卒全体ｽｹｼﾞｭｰﾙ_ソフトSS概算見積_030620_ソフトSS概算見積_030627_開発見積" xfId="2075" xr:uid="{00000000-0005-0000-0000-000038080000}"/>
    <cellStyle name="見積桁区切り_原価計画書(R-T社開発)_WRS新卒全体ｽｹｼﾞｭｰﾙ_WRS新卒全体ｽｹｼﾞｭｰﾙ_WRS新卒全体ｽｹｼﾞｭｰﾙ_ソフトSS概算見積_030620_開発見積" xfId="2076" xr:uid="{00000000-0005-0000-0000-000039080000}"/>
    <cellStyle name="見積-桁区切り_原価計画書(R-T社開発)_WRS新卒全体ｽｹｼﾞｭｰﾙ_WRS新卒全体ｽｹｼﾞｭｰﾙ_WRS新卒全体ｽｹｼﾞｭｰﾙ_ソフトSS概算見積_030620_開発見積" xfId="2077" xr:uid="{00000000-0005-0000-0000-00003A080000}"/>
    <cellStyle name="見積桁区切り_原価計画書(R-T社開発)_WRS新卒全体ｽｹｼﾞｭｰﾙ_WRS新卒全体ｽｹｼﾞｭｰﾙ_WRS新卒全体ｽｹｼﾞｭｰﾙ_ソフトSS概算見積_03062１営業修正" xfId="2078" xr:uid="{00000000-0005-0000-0000-00003B080000}"/>
    <cellStyle name="見積-桁区切り_原価計画書(R-T社開発)_WRS新卒全体ｽｹｼﾞｭｰﾙ_WRS新卒全体ｽｹｼﾞｭｰﾙ_WRS新卒全体ｽｹｼﾞｭｰﾙ_ソフトSS概算見積_03062１営業修正" xfId="2079" xr:uid="{00000000-0005-0000-0000-00003C080000}"/>
    <cellStyle name="見積桁区切り_原価計画書(R-T社開発)_WRS新卒全体ｽｹｼﾞｭｰﾙ_WRS新卒全体ｽｹｼﾞｭｰﾙ_WRS新卒全体ｽｹｼﾞｭｰﾙ_ソフトSS概算見積_03062１営業修正_＜3産2＞見積条件040127" xfId="2080" xr:uid="{00000000-0005-0000-0000-00003D080000}"/>
    <cellStyle name="見積-桁区切り_原価計画書(R-T社開発)_WRS新卒全体ｽｹｼﾞｭｰﾙ_WRS新卒全体ｽｹｼﾞｭｰﾙ_WRS新卒全体ｽｹｼﾞｭｰﾙ_ソフトSS概算見積_03062１営業修正_＜3産2＞見積条件040127" xfId="2081" xr:uid="{00000000-0005-0000-0000-00003E080000}"/>
    <cellStyle name="見積桁区切り_原価計画書(R-T社開発)_WRS新卒全体ｽｹｼﾞｭｰﾙ_WRS新卒全体ｽｹｼﾞｭｰﾙ_WRS新卒全体ｽｹｼﾞｭｰﾙ_ソフトSS概算見積_03062１営業修正_JITEC見積_03.10.1" xfId="2082" xr:uid="{00000000-0005-0000-0000-00003F080000}"/>
    <cellStyle name="見積-桁区切り_原価計画書(R-T社開発)_WRS新卒全体ｽｹｼﾞｭｰﾙ_WRS新卒全体ｽｹｼﾞｭｰﾙ_WRS新卒全体ｽｹｼﾞｭｰﾙ_ソフトSS概算見積_03062１営業修正_JITEC見積_03.10.1" xfId="2083" xr:uid="{00000000-0005-0000-0000-000040080000}"/>
    <cellStyle name="見積桁区切り_原価計画書(R-T社開発)_WRS新卒全体ｽｹｼﾞｭｰﾙ_WRS新卒全体ｽｹｼﾞｭｰﾙ_WRS新卒全体ｽｹｼﾞｭｰﾙ_ソフトSS概算見積_03062１営業修正_JITEC見積_03.10.1_工数内訳" xfId="2084" xr:uid="{00000000-0005-0000-0000-000041080000}"/>
    <cellStyle name="見積-桁区切り_原価計画書(R-T社開発)_WRS新卒全体ｽｹｼﾞｭｰﾙ_WRS新卒全体ｽｹｼﾞｭｰﾙ_WRS新卒全体ｽｹｼﾞｭｰﾙ_ソフトSS概算見積_03062１営業修正_JITEC見積_03.10.1_工数内訳" xfId="2085" xr:uid="{00000000-0005-0000-0000-000042080000}"/>
    <cellStyle name="見積桁区切り_原価計画書(R-T社開発)_WRS新卒全体ｽｹｼﾞｭｰﾙ_WRS新卒全体ｽｹｼﾞｭｰﾙ_WRS新卒全体ｽｹｼﾞｭｰﾙ_ソフトSS概算見積_03062１営業修正_JITEC見積_03.9.28" xfId="2086" xr:uid="{00000000-0005-0000-0000-000043080000}"/>
    <cellStyle name="見積-桁区切り_原価計画書(R-T社開発)_WRS新卒全体ｽｹｼﾞｭｰﾙ_WRS新卒全体ｽｹｼﾞｭｰﾙ_WRS新卒全体ｽｹｼﾞｭｰﾙ_ソフトSS概算見積_03062１営業修正_JITEC見積_03.9.28" xfId="2087" xr:uid="{00000000-0005-0000-0000-000044080000}"/>
    <cellStyle name="見積桁区切り_原価計画書(R-T社開発)_WRS新卒全体ｽｹｼﾞｭｰﾙ_WRS新卒全体ｽｹｼﾞｭｰﾙ_WRS新卒全体ｽｹｼﾞｭｰﾙ_ソフトSS概算見積_03062１営業修正_ソフトSS概算見" xfId="2088" xr:uid="{00000000-0005-0000-0000-000045080000}"/>
    <cellStyle name="見積-桁区切り_原価計画書(R-T社開発)_WRS新卒全体ｽｹｼﾞｭｰﾙ_WRS新卒全体ｽｹｼﾞｭｰﾙ_WRS新卒全体ｽｹｼﾞｭｰﾙ_ソフトSS概算見積_03062１営業修正_ソフトSS概算見" xfId="2089" xr:uid="{00000000-0005-0000-0000-000046080000}"/>
    <cellStyle name="見積桁区切り_原価計画書(R-T社開発)_WRS新卒全体ｽｹｼﾞｭｰﾙ_WRS新卒全体ｽｹｼﾞｭｰﾙ_WRS新卒全体ｽｹｼﾞｭｰﾙ_ソフトSS概算見積_03062１営業修正_ソフトSS概算見_＜3産2＞見積条件040127" xfId="2090" xr:uid="{00000000-0005-0000-0000-000047080000}"/>
    <cellStyle name="見積-桁区切り_原価計画書(R-T社開発)_WRS新卒全体ｽｹｼﾞｭｰﾙ_WRS新卒全体ｽｹｼﾞｭｰﾙ_WRS新卒全体ｽｹｼﾞｭｰﾙ_ソフトSS概算見積_03062１営業修正_ソフトSS概算見_＜3産2＞見積条件040127" xfId="2091" xr:uid="{00000000-0005-0000-0000-000048080000}"/>
    <cellStyle name="見積桁区切り_原価計画書(R-T社開発)_WRS新卒全体ｽｹｼﾞｭｰﾙ_WRS新卒全体ｽｹｼﾞｭｰﾙ_WRS新卒全体ｽｹｼﾞｭｰﾙ_ソフトSS概算見積_03062１営業修正_ソフトSS概算見_JITEC見積_03.10.1" xfId="2092" xr:uid="{00000000-0005-0000-0000-000049080000}"/>
    <cellStyle name="見積-桁区切り_原価計画書(R-T社開発)_WRS新卒全体ｽｹｼﾞｭｰﾙ_WRS新卒全体ｽｹｼﾞｭｰﾙ_WRS新卒全体ｽｹｼﾞｭｰﾙ_ソフトSS概算見積_03062１営業修正_ソフトSS概算見_JITEC見積_03.10.1" xfId="2093" xr:uid="{00000000-0005-0000-0000-00004A080000}"/>
    <cellStyle name="見積桁区切り_原価計画書(R-T社開発)_WRS新卒全体ｽｹｼﾞｭｰﾙ_WRS新卒全体ｽｹｼﾞｭｰﾙ_WRS新卒全体ｽｹｼﾞｭｰﾙ_ソフトSS概算見積_03062１営業修正_ソフトSS概算見_JITEC見積_03.10.1_工数内訳" xfId="2094" xr:uid="{00000000-0005-0000-0000-00004B080000}"/>
    <cellStyle name="見積-桁区切り_原価計画書(R-T社開発)_WRS新卒全体ｽｹｼﾞｭｰﾙ_WRS新卒全体ｽｹｼﾞｭｰﾙ_WRS新卒全体ｽｹｼﾞｭｰﾙ_ソフトSS概算見積_03062１営業修正_ソフトSS概算見_JITEC見積_03.10.1_工数内訳" xfId="2095" xr:uid="{00000000-0005-0000-0000-00004C080000}"/>
    <cellStyle name="見積桁区切り_原価計画書(R-T社開発)_WRS新卒全体ｽｹｼﾞｭｰﾙ_WRS新卒全体ｽｹｼﾞｭｰﾙ_WRS新卒全体ｽｹｼﾞｭｰﾙ_ソフトSS概算見積_03062１営業修正_ソフトSS概算見_JITEC見積_03.9.28" xfId="2096" xr:uid="{00000000-0005-0000-0000-00004D080000}"/>
    <cellStyle name="見積-桁区切り_原価計画書(R-T社開発)_WRS新卒全体ｽｹｼﾞｭｰﾙ_WRS新卒全体ｽｹｼﾞｭｰﾙ_WRS新卒全体ｽｹｼﾞｭｰﾙ_ソフトSS概算見積_03062１営業修正_ソフトSS概算見_JITEC見積_03.9.28" xfId="2097" xr:uid="{00000000-0005-0000-0000-00004E080000}"/>
    <cellStyle name="見積桁区切り_原価計画書(R-T社開発)_WRS新卒全体ｽｹｼﾞｭｰﾙ_WRS新卒全体ｽｹｼﾞｭｰﾙ_WRS新卒全体ｽｹｼﾞｭｰﾙ_ソフトSS概算見積_03062１営業修正_ソフトSS概算見_開発見積" xfId="2098" xr:uid="{00000000-0005-0000-0000-00004F080000}"/>
    <cellStyle name="見積-桁区切り_原価計画書(R-T社開発)_WRS新卒全体ｽｹｼﾞｭｰﾙ_WRS新卒全体ｽｹｼﾞｭｰﾙ_WRS新卒全体ｽｹｼﾞｭｰﾙ_ソフトSS概算見積_03062１営業修正_ソフトSS概算見_開発見積" xfId="2099" xr:uid="{00000000-0005-0000-0000-000050080000}"/>
    <cellStyle name="見積桁区切り_原価計画書(R-T社開発)_WRS新卒全体ｽｹｼﾞｭｰﾙ_WRS新卒全体ｽｹｼﾞｭｰﾙ_WRS新卒全体ｽｹｼﾞｭｰﾙ_ソフトSS概算見積_03062１営業修正_開発見積" xfId="2100" xr:uid="{00000000-0005-0000-0000-000051080000}"/>
    <cellStyle name="見積-桁区切り_原価計画書(R-T社開発)_WRS新卒全体ｽｹｼﾞｭｰﾙ_WRS新卒全体ｽｹｼﾞｭｰﾙ_WRS新卒全体ｽｹｼﾞｭｰﾙ_ソフトSS概算見積_03062１営業修正_開発見積" xfId="2101" xr:uid="{00000000-0005-0000-0000-000052080000}"/>
    <cellStyle name="見積桁区切り_原価計画書(R-T社開発)_WRS新卒全体ｽｹｼﾞｭｰﾙ_WRS新卒全体ｽｹｼﾞｭｰﾙ_WRS新卒全体ｽｹｼﾞｭｰﾙ_ソフトSS概算見積_030627" xfId="2102" xr:uid="{00000000-0005-0000-0000-000053080000}"/>
    <cellStyle name="見積-桁区切り_原価計画書(R-T社開発)_WRS新卒全体ｽｹｼﾞｭｰﾙ_WRS新卒全体ｽｹｼﾞｭｰﾙ_WRS新卒全体ｽｹｼﾞｭｰﾙ_ソフトSS概算見積_030627" xfId="2103" xr:uid="{00000000-0005-0000-0000-000054080000}"/>
    <cellStyle name="見積桁区切り_原価計画書(R-T社開発)_WRS新卒全体ｽｹｼﾞｭｰﾙ_WRS新卒全体ｽｹｼﾞｭｰﾙ_WRS新卒全体ｽｹｼﾞｭｰﾙ_開発見積" xfId="2104" xr:uid="{00000000-0005-0000-0000-000055080000}"/>
    <cellStyle name="見積-桁区切り_原価計画書(R-T社開発)_WRS新卒全体ｽｹｼﾞｭｰﾙ_WRS新卒全体ｽｹｼﾞｭｰﾙ_WRS新卒全体ｽｹｼﾞｭｰﾙ_開発見積" xfId="2105" xr:uid="{00000000-0005-0000-0000-000056080000}"/>
    <cellStyle name="見積桁区切り_原価計画書(R-T社開発)_WRS新卒全体ｽｹｼﾞｭｰﾙ_WRS新卒全体ｽｹｼﾞｭｰﾙ_WRS新卒全体ｽｹｼﾞｭｰﾙ_自治体向けｻｲﾄ構築機能整理表_Ver2" xfId="2106" xr:uid="{00000000-0005-0000-0000-000057080000}"/>
    <cellStyle name="見積-桁区切り_原価計画書(R-T社開発)_WRS新卒全体ｽｹｼﾞｭｰﾙ_WRS新卒全体ｽｹｼﾞｭｰﾙ_WRS新卒全体ｽｹｼﾞｭｰﾙ_自治体向けｻｲﾄ構築機能整理表_Ver2" xfId="2107" xr:uid="{00000000-0005-0000-0000-000058080000}"/>
    <cellStyle name="見積桁区切り_原価計画書(R-T社開発)_WRS新卒全体ｽｹｼﾞｭｰﾙ_WRS新卒全体ｽｹｼﾞｭｰﾙ_WRS新卒全体ｽｹｼﾞｭｰﾙ_提示版" xfId="2108" xr:uid="{00000000-0005-0000-0000-000059080000}"/>
    <cellStyle name="見積-桁区切り_原価計画書(R-T社開発)_WRS新卒全体ｽｹｼﾞｭｰﾙ_WRS新卒全体ｽｹｼﾞｭｰﾙ_WRS新卒全体ｽｹｼﾞｭｰﾙ_提示版" xfId="2109" xr:uid="{00000000-0005-0000-0000-00005A080000}"/>
    <cellStyle name="見積桁区切り_原価計画書(R-T社開発)_WRS新卒全体ｽｹｼﾞｭｰﾙ_WRS新卒全体ｽｹｼﾞｭｰﾙ_WRS新卒全体ｽｹｼﾞｭｰﾙ_提示版_＜3産2＞見積条件040127" xfId="2110" xr:uid="{00000000-0005-0000-0000-00005B080000}"/>
    <cellStyle name="見積-桁区切り_原価計画書(R-T社開発)_WRS新卒全体ｽｹｼﾞｭｰﾙ_WRS新卒全体ｽｹｼﾞｭｰﾙ_WRS新卒全体ｽｹｼﾞｭｰﾙ_提示版_＜3産2＞見積条件040127" xfId="2111" xr:uid="{00000000-0005-0000-0000-00005C080000}"/>
    <cellStyle name="見積桁区切り_原価計画書(R-T社開発)_WRS新卒全体ｽｹｼﾞｭｰﾙ_WRS新卒全体ｽｹｼﾞｭｰﾙ_WRS新卒全体ｽｹｼﾞｭｰﾙ_提示版_JITEC見積_03.10.1" xfId="2112" xr:uid="{00000000-0005-0000-0000-00005D080000}"/>
    <cellStyle name="見積-桁区切り_原価計画書(R-T社開発)_WRS新卒全体ｽｹｼﾞｭｰﾙ_WRS新卒全体ｽｹｼﾞｭｰﾙ_WRS新卒全体ｽｹｼﾞｭｰﾙ_提示版_JITEC見積_03.10.1" xfId="2113" xr:uid="{00000000-0005-0000-0000-00005E080000}"/>
    <cellStyle name="見積桁区切り_原価計画書(R-T社開発)_WRS新卒全体ｽｹｼﾞｭｰﾙ_WRS新卒全体ｽｹｼﾞｭｰﾙ_WRS新卒全体ｽｹｼﾞｭｰﾙ_提示版_JITEC見積_03.10.1_工数内訳" xfId="2114" xr:uid="{00000000-0005-0000-0000-00005F080000}"/>
    <cellStyle name="見積-桁区切り_原価計画書(R-T社開発)_WRS新卒全体ｽｹｼﾞｭｰﾙ_WRS新卒全体ｽｹｼﾞｭｰﾙ_WRS新卒全体ｽｹｼﾞｭｰﾙ_提示版_JITEC見積_03.10.1_工数内訳" xfId="2115" xr:uid="{00000000-0005-0000-0000-000060080000}"/>
    <cellStyle name="見積桁区切り_原価計画書(R-T社開発)_WRS新卒全体ｽｹｼﾞｭｰﾙ_WRS新卒全体ｽｹｼﾞｭｰﾙ_WRS新卒全体ｽｹｼﾞｭｰﾙ_提示版_JITEC見積_03.9.28" xfId="2116" xr:uid="{00000000-0005-0000-0000-000061080000}"/>
    <cellStyle name="見積-桁区切り_原価計画書(R-T社開発)_WRS新卒全体ｽｹｼﾞｭｰﾙ_WRS新卒全体ｽｹｼﾞｭｰﾙ_WRS新卒全体ｽｹｼﾞｭｰﾙ_提示版_JITEC見積_03.9.28" xfId="2117" xr:uid="{00000000-0005-0000-0000-000062080000}"/>
    <cellStyle name="見積桁区切り_原価計画書(R-T社開発)_WRS新卒全体ｽｹｼﾞｭｰﾙ_WRS新卒全体ｽｹｼﾞｭｰﾙ_WRS新卒全体ｽｹｼﾞｭｰﾙ_提示版_ソフトSS概算見積_030620" xfId="2118" xr:uid="{00000000-0005-0000-0000-000063080000}"/>
    <cellStyle name="見積-桁区切り_原価計画書(R-T社開発)_WRS新卒全体ｽｹｼﾞｭｰﾙ_WRS新卒全体ｽｹｼﾞｭｰﾙ_WRS新卒全体ｽｹｼﾞｭｰﾙ_提示版_ソフトSS概算見積_030620" xfId="2119" xr:uid="{00000000-0005-0000-0000-000064080000}"/>
    <cellStyle name="見積桁区切り_原価計画書(R-T社開発)_WRS新卒全体ｽｹｼﾞｭｰﾙ_WRS新卒全体ｽｹｼﾞｭｰﾙ_WRS新卒全体ｽｹｼﾞｭｰﾙ_提示版_ソフトSS概算見積_030620_＜3産2＞見積条件040127" xfId="2120" xr:uid="{00000000-0005-0000-0000-000065080000}"/>
    <cellStyle name="見積-桁区切り_原価計画書(R-T社開発)_WRS新卒全体ｽｹｼﾞｭｰﾙ_WRS新卒全体ｽｹｼﾞｭｰﾙ_WRS新卒全体ｽｹｼﾞｭｰﾙ_提示版_ソフトSS概算見積_030620_＜3産2＞見積条件040127" xfId="2121" xr:uid="{00000000-0005-0000-0000-000066080000}"/>
    <cellStyle name="見積桁区切り_原価計画書(R-T社開発)_WRS新卒全体ｽｹｼﾞｭｰﾙ_WRS新卒全体ｽｹｼﾞｭｰﾙ_WRS新卒全体ｽｹｼﾞｭｰﾙ_提示版_ソフトSS概算見積_030620_1" xfId="2122" xr:uid="{00000000-0005-0000-0000-000067080000}"/>
    <cellStyle name="見積-桁区切り_原価計画書(R-T社開発)_WRS新卒全体ｽｹｼﾞｭｰﾙ_WRS新卒全体ｽｹｼﾞｭｰﾙ_WRS新卒全体ｽｹｼﾞｭｰﾙ_提示版_ソフトSS概算見積_030620_1" xfId="2123" xr:uid="{00000000-0005-0000-0000-000068080000}"/>
    <cellStyle name="見積桁区切り_原価計画書(R-T社開発)_WRS新卒全体ｽｹｼﾞｭｰﾙ_WRS新卒全体ｽｹｼﾞｭｰﾙ_WRS新卒全体ｽｹｼﾞｭｰﾙ_提示版_ソフトSS概算見積_030620_JITEC見積_03.10.1" xfId="2124" xr:uid="{00000000-0005-0000-0000-000069080000}"/>
    <cellStyle name="見積-桁区切り_原価計画書(R-T社開発)_WRS新卒全体ｽｹｼﾞｭｰﾙ_WRS新卒全体ｽｹｼﾞｭｰﾙ_WRS新卒全体ｽｹｼﾞｭｰﾙ_提示版_ソフトSS概算見積_030620_JITEC見積_03.10.1" xfId="2125" xr:uid="{00000000-0005-0000-0000-00006A080000}"/>
    <cellStyle name="見積桁区切り_原価計画書(R-T社開発)_WRS新卒全体ｽｹｼﾞｭｰﾙ_WRS新卒全体ｽｹｼﾞｭｰﾙ_WRS新卒全体ｽｹｼﾞｭｰﾙ_提示版_ソフトSS概算見積_030620_JITEC見積_03.10.1_工数内訳" xfId="2126" xr:uid="{00000000-0005-0000-0000-00006B080000}"/>
    <cellStyle name="見積-桁区切り_原価計画書(R-T社開発)_WRS新卒全体ｽｹｼﾞｭｰﾙ_WRS新卒全体ｽｹｼﾞｭｰﾙ_WRS新卒全体ｽｹｼﾞｭｰﾙ_提示版_ソフトSS概算見積_030620_JITEC見積_03.10.1_工数内訳" xfId="2127" xr:uid="{00000000-0005-0000-0000-00006C080000}"/>
    <cellStyle name="見積桁区切り_原価計画書(R-T社開発)_WRS新卒全体ｽｹｼﾞｭｰﾙ_WRS新卒全体ｽｹｼﾞｭｰﾙ_WRS新卒全体ｽｹｼﾞｭｰﾙ_提示版_ソフトSS概算見積_030620_JITEC見積_03.9.28" xfId="2128" xr:uid="{00000000-0005-0000-0000-00006D080000}"/>
    <cellStyle name="見積-桁区切り_原価計画書(R-T社開発)_WRS新卒全体ｽｹｼﾞｭｰﾙ_WRS新卒全体ｽｹｼﾞｭｰﾙ_WRS新卒全体ｽｹｼﾞｭｰﾙ_提示版_ソフトSS概算見積_030620_JITEC見積_03.9.28" xfId="2129" xr:uid="{00000000-0005-0000-0000-00006E080000}"/>
    <cellStyle name="見積桁区切り_原価計画書(R-T社開発)_WRS新卒全体ｽｹｼﾞｭｰﾙ_WRS新卒全体ｽｹｼﾞｭｰﾙ_WRS新卒全体ｽｹｼﾞｭｰﾙ_提示版_ソフトSS概算見積_030620_ソフトSS概算見" xfId="2130" xr:uid="{00000000-0005-0000-0000-00006F080000}"/>
    <cellStyle name="見積-桁区切り_原価計画書(R-T社開発)_WRS新卒全体ｽｹｼﾞｭｰﾙ_WRS新卒全体ｽｹｼﾞｭｰﾙ_WRS新卒全体ｽｹｼﾞｭｰﾙ_提示版_ソフトSS概算見積_030620_ソフトSS概算見" xfId="2131" xr:uid="{00000000-0005-0000-0000-000070080000}"/>
    <cellStyle name="見積桁区切り_原価計画書(R-T社開発)_WRS新卒全体ｽｹｼﾞｭｰﾙ_WRS新卒全体ｽｹｼﾞｭｰﾙ_WRS新卒全体ｽｹｼﾞｭｰﾙ_提示版_ソフトSS概算見積_030620_ソフトSS概算見_＜3産2＞見積条件040127" xfId="2132" xr:uid="{00000000-0005-0000-0000-000071080000}"/>
    <cellStyle name="見積-桁区切り_原価計画書(R-T社開発)_WRS新卒全体ｽｹｼﾞｭｰﾙ_WRS新卒全体ｽｹｼﾞｭｰﾙ_WRS新卒全体ｽｹｼﾞｭｰﾙ_提示版_ソフトSS概算見積_030620_ソフトSS概算見_＜3産2＞見積条件040127" xfId="2133" xr:uid="{00000000-0005-0000-0000-000072080000}"/>
    <cellStyle name="見積桁区切り_原価計画書(R-T社開発)_WRS新卒全体ｽｹｼﾞｭｰﾙ_WRS新卒全体ｽｹｼﾞｭｰﾙ_WRS新卒全体ｽｹｼﾞｭｰﾙ_提示版_ソフトSS概算見積_030620_ソフトSS概算見_JITEC見積_03.10.1" xfId="2134" xr:uid="{00000000-0005-0000-0000-000073080000}"/>
    <cellStyle name="見積-桁区切り_原価計画書(R-T社開発)_WRS新卒全体ｽｹｼﾞｭｰﾙ_WRS新卒全体ｽｹｼﾞｭｰﾙ_WRS新卒全体ｽｹｼﾞｭｰﾙ_提示版_ソフトSS概算見積_030620_ソフトSS概算見_JITEC見積_03.10.1" xfId="2135" xr:uid="{00000000-0005-0000-0000-000074080000}"/>
    <cellStyle name="見積桁区切り_原価計画書(R-T社開発)_WRS新卒全体ｽｹｼﾞｭｰﾙ_WRS新卒全体ｽｹｼﾞｭｰﾙ_WRS新卒全体ｽｹｼﾞｭｰﾙ_提示版_ソフトSS概算見積_030620_ソフトSS概算見_JITEC見積_03.10.1_工数内訳" xfId="2136" xr:uid="{00000000-0005-0000-0000-000075080000}"/>
    <cellStyle name="見積-桁区切り_原価計画書(R-T社開発)_WRS新卒全体ｽｹｼﾞｭｰﾙ_WRS新卒全体ｽｹｼﾞｭｰﾙ_WRS新卒全体ｽｹｼﾞｭｰﾙ_提示版_ソフトSS概算見積_030620_ソフトSS概算見_JITEC見積_03.10.1_工数内訳" xfId="2137" xr:uid="{00000000-0005-0000-0000-000076080000}"/>
    <cellStyle name="見積桁区切り_原価計画書(R-T社開発)_WRS新卒全体ｽｹｼﾞｭｰﾙ_WRS新卒全体ｽｹｼﾞｭｰﾙ_WRS新卒全体ｽｹｼﾞｭｰﾙ_提示版_ソフトSS概算見積_030620_ソフトSS概算見_JITEC見積_03.9.28" xfId="2138" xr:uid="{00000000-0005-0000-0000-000077080000}"/>
    <cellStyle name="見積-桁区切り_原価計画書(R-T社開発)_WRS新卒全体ｽｹｼﾞｭｰﾙ_WRS新卒全体ｽｹｼﾞｭｰﾙ_WRS新卒全体ｽｹｼﾞｭｰﾙ_提示版_ソフトSS概算見積_030620_ソフトSS概算見_JITEC見積_03.9.28" xfId="2139" xr:uid="{00000000-0005-0000-0000-000078080000}"/>
    <cellStyle name="見積桁区切り_原価計画書(R-T社開発)_WRS新卒全体ｽｹｼﾞｭｰﾙ_WRS新卒全体ｽｹｼﾞｭｰﾙ_WRS新卒全体ｽｹｼﾞｭｰﾙ_提示版_ソフトSS概算見積_030620_ソフトSS概算見_開発見積" xfId="2140" xr:uid="{00000000-0005-0000-0000-000079080000}"/>
    <cellStyle name="見積-桁区切り_原価計画書(R-T社開発)_WRS新卒全体ｽｹｼﾞｭｰﾙ_WRS新卒全体ｽｹｼﾞｭｰﾙ_WRS新卒全体ｽｹｼﾞｭｰﾙ_提示版_ソフトSS概算見積_030620_ソフトSS概算見_開発見積" xfId="2141" xr:uid="{00000000-0005-0000-0000-00007A080000}"/>
    <cellStyle name="見積桁区切り_原価計画書(R-T社開発)_WRS新卒全体ｽｹｼﾞｭｰﾙ_WRS新卒全体ｽｹｼﾞｭｰﾙ_WRS新卒全体ｽｹｼﾞｭｰﾙ_提示版_ソフトSS概算見積_030620_ソフトSS概算見積_030620" xfId="2142" xr:uid="{00000000-0005-0000-0000-00007B080000}"/>
    <cellStyle name="見積-桁区切り_原価計画書(R-T社開発)_WRS新卒全体ｽｹｼﾞｭｰﾙ_WRS新卒全体ｽｹｼﾞｭｰﾙ_WRS新卒全体ｽｹｼﾞｭｰﾙ_提示版_ソフトSS概算見積_030620_ソフトSS概算見積_030620" xfId="2143" xr:uid="{00000000-0005-0000-0000-00007C080000}"/>
    <cellStyle name="見積桁区切り_原価計画書(R-T社開発)_WRS新卒全体ｽｹｼﾞｭｰﾙ_WRS新卒全体ｽｹｼﾞｭｰﾙ_WRS新卒全体ｽｹｼﾞｭｰﾙ_提示版_ソフトSS概算見積_030620_ソフトSS概算見積_030627" xfId="2144" xr:uid="{00000000-0005-0000-0000-00007D080000}"/>
    <cellStyle name="見積-桁区切り_原価計画書(R-T社開発)_WRS新卒全体ｽｹｼﾞｭｰﾙ_WRS新卒全体ｽｹｼﾞｭｰﾙ_WRS新卒全体ｽｹｼﾞｭｰﾙ_提示版_ソフトSS概算見積_030620_ソフトSS概算見積_030627" xfId="2145" xr:uid="{00000000-0005-0000-0000-00007E080000}"/>
    <cellStyle name="見積桁区切り_原価計画書(R-T社開発)_WRS新卒全体ｽｹｼﾞｭｰﾙ_WRS新卒全体ｽｹｼﾞｭｰﾙ_WRS新卒全体ｽｹｼﾞｭｰﾙ_提示版_ソフトSS概算見積_030620_ソフトSS概算見積_030627_＜3産2＞見積条件040127" xfId="2146" xr:uid="{00000000-0005-0000-0000-00007F080000}"/>
    <cellStyle name="見積-桁区切り_原価計画書(R-T社開発)_WRS新卒全体ｽｹｼﾞｭｰﾙ_WRS新卒全体ｽｹｼﾞｭｰﾙ_WRS新卒全体ｽｹｼﾞｭｰﾙ_提示版_ソフトSS概算見積_030620_ソフトSS概算見積_030627_＜3産2＞見積条件040127" xfId="2147" xr:uid="{00000000-0005-0000-0000-000080080000}"/>
    <cellStyle name="見積桁区切り_原価計画書(R-T社開発)_WRS新卒全体ｽｹｼﾞｭｰﾙ_WRS新卒全体ｽｹｼﾞｭｰﾙ_WRS新卒全体ｽｹｼﾞｭｰﾙ_提示版_ソフトSS概算見積_030620_ソフトSS概算見積_030627_1" xfId="2148" xr:uid="{00000000-0005-0000-0000-000081080000}"/>
    <cellStyle name="見積-桁区切り_原価計画書(R-T社開発)_WRS新卒全体ｽｹｼﾞｭｰﾙ_WRS新卒全体ｽｹｼﾞｭｰﾙ_WRS新卒全体ｽｹｼﾞｭｰﾙ_提示版_ソフトSS概算見積_030620_ソフトSS概算見積_030627_1" xfId="2149" xr:uid="{00000000-0005-0000-0000-000082080000}"/>
    <cellStyle name="見積桁区切り_原価計画書(R-T社開発)_WRS新卒全体ｽｹｼﾞｭｰﾙ_WRS新卒全体ｽｹｼﾞｭｰﾙ_WRS新卒全体ｽｹｼﾞｭｰﾙ_提示版_ソフトSS概算見積_030620_ソフトSS概算見積_030627_JITEC見積_03.10.1" xfId="2150" xr:uid="{00000000-0005-0000-0000-000083080000}"/>
    <cellStyle name="見積-桁区切り_原価計画書(R-T社開発)_WRS新卒全体ｽｹｼﾞｭｰﾙ_WRS新卒全体ｽｹｼﾞｭｰﾙ_WRS新卒全体ｽｹｼﾞｭｰﾙ_提示版_ソフトSS概算見積_030620_ソフトSS概算見積_030627_JITEC見積_03.10.1" xfId="2151" xr:uid="{00000000-0005-0000-0000-000084080000}"/>
    <cellStyle name="見積桁区切り_原価計画書(R-T社開発)_WRS新卒全体ｽｹｼﾞｭｰﾙ_WRS新卒全体ｽｹｼﾞｭｰﾙ_WRS新卒全体ｽｹｼﾞｭｰﾙ_提示版_ソフトSS概算見積_030620_ソフトSS概算見積_030627_JITEC見積_03.10.1_工数内訳" xfId="2152" xr:uid="{00000000-0005-0000-0000-000085080000}"/>
    <cellStyle name="見積-桁区切り_原価計画書(R-T社開発)_WRS新卒全体ｽｹｼﾞｭｰﾙ_WRS新卒全体ｽｹｼﾞｭｰﾙ_WRS新卒全体ｽｹｼﾞｭｰﾙ_提示版_ソフトSS概算見積_030620_ソフトSS概算見積_030627_JITEC見積_03.10.1_工数内訳" xfId="2153" xr:uid="{00000000-0005-0000-0000-000086080000}"/>
    <cellStyle name="見積桁区切り_原価計画書(R-T社開発)_WRS新卒全体ｽｹｼﾞｭｰﾙ_WRS新卒全体ｽｹｼﾞｭｰﾙ_WRS新卒全体ｽｹｼﾞｭｰﾙ_提示版_ソフトSS概算見積_030620_ソフトSS概算見積_030627_JITEC見積_03.9.28" xfId="2154" xr:uid="{00000000-0005-0000-0000-000087080000}"/>
    <cellStyle name="見積-桁区切り_原価計画書(R-T社開発)_WRS新卒全体ｽｹｼﾞｭｰﾙ_WRS新卒全体ｽｹｼﾞｭｰﾙ_WRS新卒全体ｽｹｼﾞｭｰﾙ_提示版_ソフトSS概算見積_030620_ソフトSS概算見積_030627_JITEC見積_03.9.28" xfId="2155" xr:uid="{00000000-0005-0000-0000-000088080000}"/>
    <cellStyle name="見積桁区切り_原価計画書(R-T社開発)_WRS新卒全体ｽｹｼﾞｭｰﾙ_WRS新卒全体ｽｹｼﾞｭｰﾙ_WRS新卒全体ｽｹｼﾞｭｰﾙ_提示版_ソフトSS概算見積_030620_ソフトSS概算見積_030627_ソフトSS概算見積_030627" xfId="2156" xr:uid="{00000000-0005-0000-0000-000089080000}"/>
    <cellStyle name="見積-桁区切り_原価計画書(R-T社開発)_WRS新卒全体ｽｹｼﾞｭｰﾙ_WRS新卒全体ｽｹｼﾞｭｰﾙ_WRS新卒全体ｽｹｼﾞｭｰﾙ_提示版_ソフトSS概算見積_030620_ソフトSS概算見積_030627_ソフトSS概算見積_030627" xfId="2157" xr:uid="{00000000-0005-0000-0000-00008A080000}"/>
    <cellStyle name="見積桁区切り_原価計画書(R-T社開発)_WRS新卒全体ｽｹｼﾞｭｰﾙ_WRS新卒全体ｽｹｼﾞｭｰﾙ_WRS新卒全体ｽｹｼﾞｭｰﾙ_提示版_ソフトSS概算見積_030620_ソフトSS概算見積_030627_開発見積" xfId="2158" xr:uid="{00000000-0005-0000-0000-00008B080000}"/>
    <cellStyle name="見積-桁区切り_原価計画書(R-T社開発)_WRS新卒全体ｽｹｼﾞｭｰﾙ_WRS新卒全体ｽｹｼﾞｭｰﾙ_WRS新卒全体ｽｹｼﾞｭｰﾙ_提示版_ソフトSS概算見積_030620_ソフトSS概算見積_030627_開発見積" xfId="2159" xr:uid="{00000000-0005-0000-0000-00008C080000}"/>
    <cellStyle name="見積桁区切り_原価計画書(R-T社開発)_WRS新卒全体ｽｹｼﾞｭｰﾙ_WRS新卒全体ｽｹｼﾞｭｰﾙ_WRS新卒全体ｽｹｼﾞｭｰﾙ_提示版_ソフトSS概算見積_030620_開発見積" xfId="2160" xr:uid="{00000000-0005-0000-0000-00008D080000}"/>
    <cellStyle name="見積-桁区切り_原価計画書(R-T社開発)_WRS新卒全体ｽｹｼﾞｭｰﾙ_WRS新卒全体ｽｹｼﾞｭｰﾙ_WRS新卒全体ｽｹｼﾞｭｰﾙ_提示版_ソフトSS概算見積_030620_開発見積" xfId="2161" xr:uid="{00000000-0005-0000-0000-00008E080000}"/>
    <cellStyle name="見積桁区切り_原価計画書(R-T社開発)_WRS新卒全体ｽｹｼﾞｭｰﾙ_WRS新卒全体ｽｹｼﾞｭｰﾙ_WRS新卒全体ｽｹｼﾞｭｰﾙ_提示版_ソフトSS概算見積_03062１営業修正" xfId="2162" xr:uid="{00000000-0005-0000-0000-00008F080000}"/>
    <cellStyle name="見積-桁区切り_原価計画書(R-T社開発)_WRS新卒全体ｽｹｼﾞｭｰﾙ_WRS新卒全体ｽｹｼﾞｭｰﾙ_WRS新卒全体ｽｹｼﾞｭｰﾙ_提示版_ソフトSS概算見積_03062１営業修正" xfId="2163" xr:uid="{00000000-0005-0000-0000-000090080000}"/>
    <cellStyle name="見積桁区切り_原価計画書(R-T社開発)_WRS新卒全体ｽｹｼﾞｭｰﾙ_WRS新卒全体ｽｹｼﾞｭｰﾙ_WRS新卒全体ｽｹｼﾞｭｰﾙ_提示版_ソフトSS概算見積_03062１営業修正_＜3産2＞見積条件040127" xfId="2164" xr:uid="{00000000-0005-0000-0000-000091080000}"/>
    <cellStyle name="見積-桁区切り_原価計画書(R-T社開発)_WRS新卒全体ｽｹｼﾞｭｰﾙ_WRS新卒全体ｽｹｼﾞｭｰﾙ_WRS新卒全体ｽｹｼﾞｭｰﾙ_提示版_ソフトSS概算見積_03062１営業修正_＜3産2＞見積条件040127" xfId="2165" xr:uid="{00000000-0005-0000-0000-000092080000}"/>
    <cellStyle name="見積桁区切り_原価計画書(R-T社開発)_WRS新卒全体ｽｹｼﾞｭｰﾙ_WRS新卒全体ｽｹｼﾞｭｰﾙ_WRS新卒全体ｽｹｼﾞｭｰﾙ_提示版_ソフトSS概算見積_03062１営業修正_JITEC見積_03.10.1" xfId="2166" xr:uid="{00000000-0005-0000-0000-000093080000}"/>
    <cellStyle name="見積-桁区切り_原価計画書(R-T社開発)_WRS新卒全体ｽｹｼﾞｭｰﾙ_WRS新卒全体ｽｹｼﾞｭｰﾙ_WRS新卒全体ｽｹｼﾞｭｰﾙ_提示版_ソフトSS概算見積_03062１営業修正_JITEC見積_03.10.1" xfId="2167" xr:uid="{00000000-0005-0000-0000-000094080000}"/>
    <cellStyle name="見積桁区切り_原価計画書(R-T社開発)_WRS新卒全体ｽｹｼﾞｭｰﾙ_WRS新卒全体ｽｹｼﾞｭｰﾙ_WRS新卒全体ｽｹｼﾞｭｰﾙ_提示版_ソフトSS概算見積_03062１営業修正_JITEC見積_03.10.1_工数内訳" xfId="2168" xr:uid="{00000000-0005-0000-0000-000095080000}"/>
    <cellStyle name="見積-桁区切り_原価計画書(R-T社開発)_WRS新卒全体ｽｹｼﾞｭｰﾙ_WRS新卒全体ｽｹｼﾞｭｰﾙ_WRS新卒全体ｽｹｼﾞｭｰﾙ_提示版_ソフトSS概算見積_03062１営業修正_JITEC見積_03.10.1_工数内訳" xfId="2169" xr:uid="{00000000-0005-0000-0000-000096080000}"/>
    <cellStyle name="見積桁区切り_原価計画書(R-T社開発)_WRS新卒全体ｽｹｼﾞｭｰﾙ_WRS新卒全体ｽｹｼﾞｭｰﾙ_WRS新卒全体ｽｹｼﾞｭｰﾙ_提示版_ソフトSS概算見積_03062１営業修正_JITEC見積_03.9.28" xfId="2170" xr:uid="{00000000-0005-0000-0000-000097080000}"/>
    <cellStyle name="見積-桁区切り_原価計画書(R-T社開発)_WRS新卒全体ｽｹｼﾞｭｰﾙ_WRS新卒全体ｽｹｼﾞｭｰﾙ_WRS新卒全体ｽｹｼﾞｭｰﾙ_提示版_ソフトSS概算見積_03062１営業修正_JITEC見積_03.9.28" xfId="2171" xr:uid="{00000000-0005-0000-0000-000098080000}"/>
    <cellStyle name="見積桁区切り_原価計画書(R-T社開発)_WRS新卒全体ｽｹｼﾞｭｰﾙ_WRS新卒全体ｽｹｼﾞｭｰﾙ_WRS新卒全体ｽｹｼﾞｭｰﾙ_提示版_ソフトSS概算見積_03062１営業修正_ソフトSS概算見" xfId="2172" xr:uid="{00000000-0005-0000-0000-000099080000}"/>
    <cellStyle name="見積-桁区切り_原価計画書(R-T社開発)_WRS新卒全体ｽｹｼﾞｭｰﾙ_WRS新卒全体ｽｹｼﾞｭｰﾙ_WRS新卒全体ｽｹｼﾞｭｰﾙ_提示版_ソフトSS概算見積_03062１営業修正_ソフトSS概算見" xfId="2173" xr:uid="{00000000-0005-0000-0000-00009A080000}"/>
    <cellStyle name="見積桁区切り_原価計画書(R-T社開発)_WRS新卒全体ｽｹｼﾞｭｰﾙ_WRS新卒全体ｽｹｼﾞｭｰﾙ_WRS新卒全体ｽｹｼﾞｭｰﾙ_提示版_ソフトSS概算見積_03062１営業修正_ソフトSS概算見_＜3産2＞見積条件040127" xfId="2174" xr:uid="{00000000-0005-0000-0000-00009B080000}"/>
    <cellStyle name="見積-桁区切り_原価計画書(R-T社開発)_WRS新卒全体ｽｹｼﾞｭｰﾙ_WRS新卒全体ｽｹｼﾞｭｰﾙ_WRS新卒全体ｽｹｼﾞｭｰﾙ_提示版_ソフトSS概算見積_03062１営業修正_ソフトSS概算見_＜3産2＞見積条件040127" xfId="2175" xr:uid="{00000000-0005-0000-0000-00009C080000}"/>
    <cellStyle name="見積桁区切り_原価計画書(R-T社開発)_WRS新卒全体ｽｹｼﾞｭｰﾙ_WRS新卒全体ｽｹｼﾞｭｰﾙ_WRS新卒全体ｽｹｼﾞｭｰﾙ_提示版_ソフトSS概算見積_03062１営業修正_ソフトSS概算見_JITEC見積_03.10.1" xfId="2176" xr:uid="{00000000-0005-0000-0000-00009D080000}"/>
    <cellStyle name="見積-桁区切り_原価計画書(R-T社開発)_WRS新卒全体ｽｹｼﾞｭｰﾙ_WRS新卒全体ｽｹｼﾞｭｰﾙ_WRS新卒全体ｽｹｼﾞｭｰﾙ_提示版_ソフトSS概算見積_03062１営業修正_ソフトSS概算見_JITEC見積_03.10.1" xfId="2177" xr:uid="{00000000-0005-0000-0000-00009E080000}"/>
    <cellStyle name="見積桁区切り_原価計画書(R-T社開発)_WRS新卒全体ｽｹｼﾞｭｰﾙ_WRS新卒全体ｽｹｼﾞｭｰﾙ_WRS新卒全体ｽｹｼﾞｭｰﾙ_提示版_ソフトSS概算見積_03062１営業修正_ソフトSS概算見_JITEC見積_03.10.1_工数内訳" xfId="2178" xr:uid="{00000000-0005-0000-0000-00009F080000}"/>
    <cellStyle name="見積-桁区切り_原価計画書(R-T社開発)_WRS新卒全体ｽｹｼﾞｭｰﾙ_WRS新卒全体ｽｹｼﾞｭｰﾙ_WRS新卒全体ｽｹｼﾞｭｰﾙ_提示版_ソフトSS概算見積_03062１営業修正_ソフトSS概算見_JITEC見積_03.10.1_工数内訳" xfId="2179" xr:uid="{00000000-0005-0000-0000-0000A0080000}"/>
    <cellStyle name="見積桁区切り_原価計画書(R-T社開発)_WRS新卒全体ｽｹｼﾞｭｰﾙ_WRS新卒全体ｽｹｼﾞｭｰﾙ_WRS新卒全体ｽｹｼﾞｭｰﾙ_提示版_ソフトSS概算見積_03062１営業修正_ソフトSS概算見_JITEC見積_03.9.28" xfId="2180" xr:uid="{00000000-0005-0000-0000-0000A1080000}"/>
    <cellStyle name="見積-桁区切り_原価計画書(R-T社開発)_WRS新卒全体ｽｹｼﾞｭｰﾙ_WRS新卒全体ｽｹｼﾞｭｰﾙ_WRS新卒全体ｽｹｼﾞｭｰﾙ_提示版_ソフトSS概算見積_03062１営業修正_ソフトSS概算見_JITEC見積_03.9.28" xfId="2181" xr:uid="{00000000-0005-0000-0000-0000A2080000}"/>
    <cellStyle name="見積桁区切り_原価計画書(R-T社開発)_WRS新卒全体ｽｹｼﾞｭｰﾙ_WRS新卒全体ｽｹｼﾞｭｰﾙ_WRS新卒全体ｽｹｼﾞｭｰﾙ_提示版_ソフトSS概算見積_03062１営業修正_ソフトSS概算見_開発見積" xfId="2182" xr:uid="{00000000-0005-0000-0000-0000A3080000}"/>
    <cellStyle name="見積-桁区切り_原価計画書(R-T社開発)_WRS新卒全体ｽｹｼﾞｭｰﾙ_WRS新卒全体ｽｹｼﾞｭｰﾙ_WRS新卒全体ｽｹｼﾞｭｰﾙ_提示版_ソフトSS概算見積_03062１営業修正_ソフトSS概算見_開発見積" xfId="2183" xr:uid="{00000000-0005-0000-0000-0000A4080000}"/>
    <cellStyle name="見積桁区切り_原価計画書(R-T社開発)_WRS新卒全体ｽｹｼﾞｭｰﾙ_WRS新卒全体ｽｹｼﾞｭｰﾙ_WRS新卒全体ｽｹｼﾞｭｰﾙ_提示版_ソフトSS概算見積_03062１営業修正_開発見積" xfId="2184" xr:uid="{00000000-0005-0000-0000-0000A5080000}"/>
    <cellStyle name="見積-桁区切り_原価計画書(R-T社開発)_WRS新卒全体ｽｹｼﾞｭｰﾙ_WRS新卒全体ｽｹｼﾞｭｰﾙ_WRS新卒全体ｽｹｼﾞｭｰﾙ_提示版_ソフトSS概算見積_03062１営業修正_開発見積" xfId="2185" xr:uid="{00000000-0005-0000-0000-0000A6080000}"/>
    <cellStyle name="見積桁区切り_原価計画書(R-T社開発)_WRS新卒全体ｽｹｼﾞｭｰﾙ_WRS新卒全体ｽｹｼﾞｭｰﾙ_WRS新卒全体ｽｹｼﾞｭｰﾙ_提示版_ソフトSS概算見積_030627" xfId="2186" xr:uid="{00000000-0005-0000-0000-0000A7080000}"/>
    <cellStyle name="見積-桁区切り_原価計画書(R-T社開発)_WRS新卒全体ｽｹｼﾞｭｰﾙ_WRS新卒全体ｽｹｼﾞｭｰﾙ_WRS新卒全体ｽｹｼﾞｭｰﾙ_提示版_ソフトSS概算見積_030627" xfId="2187" xr:uid="{00000000-0005-0000-0000-0000A8080000}"/>
    <cellStyle name="見積桁区切り_原価計画書(R-T社開発)_WRS新卒全体ｽｹｼﾞｭｰﾙ_WRS新卒全体ｽｹｼﾞｭｰﾙ_WRS新卒全体ｽｹｼﾞｭｰﾙ_提示版_開発見積" xfId="2188" xr:uid="{00000000-0005-0000-0000-0000A9080000}"/>
    <cellStyle name="見積-桁区切り_原価計画書(R-T社開発)_WRS新卒全体ｽｹｼﾞｭｰﾙ_WRS新卒全体ｽｹｼﾞｭｰﾙ_WRS新卒全体ｽｹｼﾞｭｰﾙ_提示版_開発見積" xfId="2189" xr:uid="{00000000-0005-0000-0000-0000AA080000}"/>
    <cellStyle name="見積桁区切り_原価計画書(R-T社開発)_WRS新卒全体ｽｹｼﾞｭｰﾙ_WRS新卒全体ｽｹｼﾞｭｰﾙ_WRS新卒全体ｽｹｼﾞｭｰﾙ_提示版_自治体向けｻｲﾄ構築機能整理表_Ver2" xfId="2190" xr:uid="{00000000-0005-0000-0000-0000AB080000}"/>
    <cellStyle name="見積-桁区切り_原価計画書(R-T社開発)_WRS新卒全体ｽｹｼﾞｭｰﾙ_WRS新卒全体ｽｹｼﾞｭｰﾙ_WRS新卒全体ｽｹｼﾞｭｰﾙ_提示版_自治体向けｻｲﾄ構築機能整理表_Ver2" xfId="2191" xr:uid="{00000000-0005-0000-0000-0000AC080000}"/>
    <cellStyle name="見積桁区切り_原価計画書(R-T社開発)_WRS新卒全体ｽｹｼﾞｭｰﾙ_WRS新卒全体ｽｹｼﾞｭｰﾙ_ソフトSS概算見積_030620" xfId="2192" xr:uid="{00000000-0005-0000-0000-0000AD080000}"/>
    <cellStyle name="見積-桁区切り_原価計画書(R-T社開発)_WRS新卒全体ｽｹｼﾞｭｰﾙ_WRS新卒全体ｽｹｼﾞｭｰﾙ_ソフトSS概算見積_030620" xfId="2193" xr:uid="{00000000-0005-0000-0000-0000AE080000}"/>
    <cellStyle name="見積桁区切り_原価計画書(R-T社開発)_WRS新卒全体ｽｹｼﾞｭｰﾙ_WRS新卒全体ｽｹｼﾞｭｰﾙ_ソフトSS概算見積_030620_＜3産2＞見積条件040127" xfId="2194" xr:uid="{00000000-0005-0000-0000-0000AF080000}"/>
    <cellStyle name="見積-桁区切り_原価計画書(R-T社開発)_WRS新卒全体ｽｹｼﾞｭｰﾙ_WRS新卒全体ｽｹｼﾞｭｰﾙ_ソフトSS概算見積_030620_＜3産2＞見積条件040127" xfId="2195" xr:uid="{00000000-0005-0000-0000-0000B0080000}"/>
    <cellStyle name="見積桁区切り_原価計画書(R-T社開発)_WRS新卒全体ｽｹｼﾞｭｰﾙ_WRS新卒全体ｽｹｼﾞｭｰﾙ_ソフトSS概算見積_030620_1" xfId="2196" xr:uid="{00000000-0005-0000-0000-0000B1080000}"/>
    <cellStyle name="見積-桁区切り_原価計画書(R-T社開発)_WRS新卒全体ｽｹｼﾞｭｰﾙ_WRS新卒全体ｽｹｼﾞｭｰﾙ_ソフトSS概算見積_030620_1" xfId="2197" xr:uid="{00000000-0005-0000-0000-0000B2080000}"/>
    <cellStyle name="見積桁区切り_原価計画書(R-T社開発)_WRS新卒全体ｽｹｼﾞｭｰﾙ_WRS新卒全体ｽｹｼﾞｭｰﾙ_ソフトSS概算見積_030620_JITEC見積_03.10.1" xfId="2198" xr:uid="{00000000-0005-0000-0000-0000B3080000}"/>
    <cellStyle name="見積-桁区切り_原価計画書(R-T社開発)_WRS新卒全体ｽｹｼﾞｭｰﾙ_WRS新卒全体ｽｹｼﾞｭｰﾙ_ソフトSS概算見積_030620_JITEC見積_03.10.1" xfId="2199" xr:uid="{00000000-0005-0000-0000-0000B4080000}"/>
    <cellStyle name="見積桁区切り_原価計画書(R-T社開発)_WRS新卒全体ｽｹｼﾞｭｰﾙ_WRS新卒全体ｽｹｼﾞｭｰﾙ_ソフトSS概算見積_030620_JITEC見積_03.10.1_工数内訳" xfId="2200" xr:uid="{00000000-0005-0000-0000-0000B5080000}"/>
    <cellStyle name="見積-桁区切り_原価計画書(R-T社開発)_WRS新卒全体ｽｹｼﾞｭｰﾙ_WRS新卒全体ｽｹｼﾞｭｰﾙ_ソフトSS概算見積_030620_JITEC見積_03.10.1_工数内訳" xfId="2201" xr:uid="{00000000-0005-0000-0000-0000B6080000}"/>
    <cellStyle name="見積桁区切り_原価計画書(R-T社開発)_WRS新卒全体ｽｹｼﾞｭｰﾙ_WRS新卒全体ｽｹｼﾞｭｰﾙ_ソフトSS概算見積_030620_JITEC見積_03.9.28" xfId="2202" xr:uid="{00000000-0005-0000-0000-0000B7080000}"/>
    <cellStyle name="見積-桁区切り_原価計画書(R-T社開発)_WRS新卒全体ｽｹｼﾞｭｰﾙ_WRS新卒全体ｽｹｼﾞｭｰﾙ_ソフトSS概算見積_030620_JITEC見積_03.9.28" xfId="2203" xr:uid="{00000000-0005-0000-0000-0000B8080000}"/>
    <cellStyle name="見積桁区切り_原価計画書(R-T社開発)_WRS新卒全体ｽｹｼﾞｭｰﾙ_WRS新卒全体ｽｹｼﾞｭｰﾙ_ソフトSS概算見積_030620_ソフトSS概算見" xfId="2204" xr:uid="{00000000-0005-0000-0000-0000B9080000}"/>
    <cellStyle name="見積-桁区切り_原価計画書(R-T社開発)_WRS新卒全体ｽｹｼﾞｭｰﾙ_WRS新卒全体ｽｹｼﾞｭｰﾙ_ソフトSS概算見積_030620_ソフトSS概算見" xfId="2205" xr:uid="{00000000-0005-0000-0000-0000BA080000}"/>
    <cellStyle name="見積桁区切り_原価計画書(R-T社開発)_WRS新卒全体ｽｹｼﾞｭｰﾙ_WRS新卒全体ｽｹｼﾞｭｰﾙ_ソフトSS概算見積_030620_ソフトSS概算見_＜3産2＞見積条件040127" xfId="2206" xr:uid="{00000000-0005-0000-0000-0000BB080000}"/>
    <cellStyle name="見積-桁区切り_原価計画書(R-T社開発)_WRS新卒全体ｽｹｼﾞｭｰﾙ_WRS新卒全体ｽｹｼﾞｭｰﾙ_ソフトSS概算見積_030620_ソフトSS概算見_＜3産2＞見積条件040127" xfId="2207" xr:uid="{00000000-0005-0000-0000-0000BC080000}"/>
    <cellStyle name="見積桁区切り_原価計画書(R-T社開発)_WRS新卒全体ｽｹｼﾞｭｰﾙ_WRS新卒全体ｽｹｼﾞｭｰﾙ_ソフトSS概算見積_030620_ソフトSS概算見_JITEC見積_03.10.1" xfId="2208" xr:uid="{00000000-0005-0000-0000-0000BD080000}"/>
    <cellStyle name="見積-桁区切り_原価計画書(R-T社開発)_WRS新卒全体ｽｹｼﾞｭｰﾙ_WRS新卒全体ｽｹｼﾞｭｰﾙ_ソフトSS概算見積_030620_ソフトSS概算見_JITEC見積_03.10.1" xfId="2209" xr:uid="{00000000-0005-0000-0000-0000BE080000}"/>
    <cellStyle name="見積桁区切り_原価計画書(R-T社開発)_WRS新卒全体ｽｹｼﾞｭｰﾙ_WRS新卒全体ｽｹｼﾞｭｰﾙ_ソフトSS概算見積_030620_ソフトSS概算見_JITEC見積_03.10.1_工数内訳" xfId="2210" xr:uid="{00000000-0005-0000-0000-0000BF080000}"/>
    <cellStyle name="見積-桁区切り_原価計画書(R-T社開発)_WRS新卒全体ｽｹｼﾞｭｰﾙ_WRS新卒全体ｽｹｼﾞｭｰﾙ_ソフトSS概算見積_030620_ソフトSS概算見_JITEC見積_03.10.1_工数内訳" xfId="2211" xr:uid="{00000000-0005-0000-0000-0000C0080000}"/>
    <cellStyle name="見積桁区切り_原価計画書(R-T社開発)_WRS新卒全体ｽｹｼﾞｭｰﾙ_WRS新卒全体ｽｹｼﾞｭｰﾙ_ソフトSS概算見積_030620_ソフトSS概算見_JITEC見積_03.9.28" xfId="2212" xr:uid="{00000000-0005-0000-0000-0000C1080000}"/>
    <cellStyle name="見積-桁区切り_原価計画書(R-T社開発)_WRS新卒全体ｽｹｼﾞｭｰﾙ_WRS新卒全体ｽｹｼﾞｭｰﾙ_ソフトSS概算見積_030620_ソフトSS概算見_JITEC見積_03.9.28" xfId="2213" xr:uid="{00000000-0005-0000-0000-0000C2080000}"/>
    <cellStyle name="見積桁区切り_原価計画書(R-T社開発)_WRS新卒全体ｽｹｼﾞｭｰﾙ_WRS新卒全体ｽｹｼﾞｭｰﾙ_ソフトSS概算見積_030620_ソフトSS概算見_開発見積" xfId="2214" xr:uid="{00000000-0005-0000-0000-0000C3080000}"/>
    <cellStyle name="見積-桁区切り_原価計画書(R-T社開発)_WRS新卒全体ｽｹｼﾞｭｰﾙ_WRS新卒全体ｽｹｼﾞｭｰﾙ_ソフトSS概算見積_030620_ソフトSS概算見_開発見積" xfId="2215" xr:uid="{00000000-0005-0000-0000-0000C4080000}"/>
    <cellStyle name="見積桁区切り_原価計画書(R-T社開発)_WRS新卒全体ｽｹｼﾞｭｰﾙ_WRS新卒全体ｽｹｼﾞｭｰﾙ_ソフトSS概算見積_030620_ソフトSS概算見積_030620" xfId="2216" xr:uid="{00000000-0005-0000-0000-0000C5080000}"/>
    <cellStyle name="見積-桁区切り_原価計画書(R-T社開発)_WRS新卒全体ｽｹｼﾞｭｰﾙ_WRS新卒全体ｽｹｼﾞｭｰﾙ_ソフトSS概算見積_030620_ソフトSS概算見積_030620" xfId="2217" xr:uid="{00000000-0005-0000-0000-0000C6080000}"/>
    <cellStyle name="見積桁区切り_原価計画書(R-T社開発)_WRS新卒全体ｽｹｼﾞｭｰﾙ_WRS新卒全体ｽｹｼﾞｭｰﾙ_ソフトSS概算見積_030620_ソフトSS概算見積_030627" xfId="2218" xr:uid="{00000000-0005-0000-0000-0000C7080000}"/>
    <cellStyle name="見積-桁区切り_原価計画書(R-T社開発)_WRS新卒全体ｽｹｼﾞｭｰﾙ_WRS新卒全体ｽｹｼﾞｭｰﾙ_ソフトSS概算見積_030620_ソフトSS概算見積_030627" xfId="2219" xr:uid="{00000000-0005-0000-0000-0000C8080000}"/>
    <cellStyle name="見積桁区切り_原価計画書(R-T社開発)_WRS新卒全体ｽｹｼﾞｭｰﾙ_WRS新卒全体ｽｹｼﾞｭｰﾙ_ソフトSS概算見積_030620_ソフトSS概算見積_030627_＜3産2＞見積条件040127" xfId="2220" xr:uid="{00000000-0005-0000-0000-0000C9080000}"/>
    <cellStyle name="見積-桁区切り_原価計画書(R-T社開発)_WRS新卒全体ｽｹｼﾞｭｰﾙ_WRS新卒全体ｽｹｼﾞｭｰﾙ_ソフトSS概算見積_030620_ソフトSS概算見積_030627_＜3産2＞見積条件040127" xfId="2221" xr:uid="{00000000-0005-0000-0000-0000CA080000}"/>
    <cellStyle name="見積桁区切り_原価計画書(R-T社開発)_WRS新卒全体ｽｹｼﾞｭｰﾙ_WRS新卒全体ｽｹｼﾞｭｰﾙ_ソフトSS概算見積_030620_ソフトSS概算見積_030627_1" xfId="2222" xr:uid="{00000000-0005-0000-0000-0000CB080000}"/>
    <cellStyle name="見積-桁区切り_原価計画書(R-T社開発)_WRS新卒全体ｽｹｼﾞｭｰﾙ_WRS新卒全体ｽｹｼﾞｭｰﾙ_ソフトSS概算見積_030620_ソフトSS概算見積_030627_1" xfId="2223" xr:uid="{00000000-0005-0000-0000-0000CC080000}"/>
    <cellStyle name="見積桁区切り_原価計画書(R-T社開発)_WRS新卒全体ｽｹｼﾞｭｰﾙ_WRS新卒全体ｽｹｼﾞｭｰﾙ_ソフトSS概算見積_030620_ソフトSS概算見積_030627_JITEC見積_03.10.1" xfId="2224" xr:uid="{00000000-0005-0000-0000-0000CD080000}"/>
    <cellStyle name="見積-桁区切り_原価計画書(R-T社開発)_WRS新卒全体ｽｹｼﾞｭｰﾙ_WRS新卒全体ｽｹｼﾞｭｰﾙ_ソフトSS概算見積_030620_ソフトSS概算見積_030627_JITEC見積_03.10.1" xfId="2225" xr:uid="{00000000-0005-0000-0000-0000CE080000}"/>
    <cellStyle name="見積桁区切り_原価計画書(R-T社開発)_WRS新卒全体ｽｹｼﾞｭｰﾙ_WRS新卒全体ｽｹｼﾞｭｰﾙ_ソフトSS概算見積_030620_ソフトSS概算見積_030627_JITEC見積_03.10.1_工数内訳" xfId="2226" xr:uid="{00000000-0005-0000-0000-0000CF080000}"/>
    <cellStyle name="見積-桁区切り_原価計画書(R-T社開発)_WRS新卒全体ｽｹｼﾞｭｰﾙ_WRS新卒全体ｽｹｼﾞｭｰﾙ_ソフトSS概算見積_030620_ソフトSS概算見積_030627_JITEC見積_03.10.1_工数内訳" xfId="2227" xr:uid="{00000000-0005-0000-0000-0000D0080000}"/>
    <cellStyle name="見積桁区切り_原価計画書(R-T社開発)_WRS新卒全体ｽｹｼﾞｭｰﾙ_WRS新卒全体ｽｹｼﾞｭｰﾙ_ソフトSS概算見積_030620_ソフトSS概算見積_030627_JITEC見積_03.9.28" xfId="2228" xr:uid="{00000000-0005-0000-0000-0000D1080000}"/>
    <cellStyle name="見積-桁区切り_原価計画書(R-T社開発)_WRS新卒全体ｽｹｼﾞｭｰﾙ_WRS新卒全体ｽｹｼﾞｭｰﾙ_ソフトSS概算見積_030620_ソフトSS概算見積_030627_JITEC見積_03.9.28" xfId="2229" xr:uid="{00000000-0005-0000-0000-0000D2080000}"/>
    <cellStyle name="見積桁区切り_原価計画書(R-T社開発)_WRS新卒全体ｽｹｼﾞｭｰﾙ_WRS新卒全体ｽｹｼﾞｭｰﾙ_ソフトSS概算見積_030620_ソフトSS概算見積_030627_ソフトSS概算見積_030627" xfId="2230" xr:uid="{00000000-0005-0000-0000-0000D3080000}"/>
    <cellStyle name="見積-桁区切り_原価計画書(R-T社開発)_WRS新卒全体ｽｹｼﾞｭｰﾙ_WRS新卒全体ｽｹｼﾞｭｰﾙ_ソフトSS概算見積_030620_ソフトSS概算見積_030627_ソフトSS概算見積_030627" xfId="2231" xr:uid="{00000000-0005-0000-0000-0000D4080000}"/>
    <cellStyle name="見積桁区切り_原価計画書(R-T社開発)_WRS新卒全体ｽｹｼﾞｭｰﾙ_WRS新卒全体ｽｹｼﾞｭｰﾙ_ソフトSS概算見積_030620_ソフトSS概算見積_030627_開発見積" xfId="2232" xr:uid="{00000000-0005-0000-0000-0000D5080000}"/>
    <cellStyle name="見積-桁区切り_原価計画書(R-T社開発)_WRS新卒全体ｽｹｼﾞｭｰﾙ_WRS新卒全体ｽｹｼﾞｭｰﾙ_ソフトSS概算見積_030620_ソフトSS概算見積_030627_開発見積" xfId="2233" xr:uid="{00000000-0005-0000-0000-0000D6080000}"/>
    <cellStyle name="見積桁区切り_原価計画書(R-T社開発)_WRS新卒全体ｽｹｼﾞｭｰﾙ_WRS新卒全体ｽｹｼﾞｭｰﾙ_ソフトSS概算見積_030620_開発見積" xfId="2234" xr:uid="{00000000-0005-0000-0000-0000D7080000}"/>
    <cellStyle name="見積-桁区切り_原価計画書(R-T社開発)_WRS新卒全体ｽｹｼﾞｭｰﾙ_WRS新卒全体ｽｹｼﾞｭｰﾙ_ソフトSS概算見積_030620_開発見積" xfId="2235" xr:uid="{00000000-0005-0000-0000-0000D8080000}"/>
    <cellStyle name="見積桁区切り_原価計画書(R-T社開発)_WRS新卒全体ｽｹｼﾞｭｰﾙ_WRS新卒全体ｽｹｼﾞｭｰﾙ_ソフトSS概算見積_03062１営業修正" xfId="2236" xr:uid="{00000000-0005-0000-0000-0000D9080000}"/>
    <cellStyle name="見積-桁区切り_原価計画書(R-T社開発)_WRS新卒全体ｽｹｼﾞｭｰﾙ_WRS新卒全体ｽｹｼﾞｭｰﾙ_ソフトSS概算見積_03062１営業修正" xfId="2237" xr:uid="{00000000-0005-0000-0000-0000DA080000}"/>
    <cellStyle name="見積桁区切り_原価計画書(R-T社開発)_WRS新卒全体ｽｹｼﾞｭｰﾙ_WRS新卒全体ｽｹｼﾞｭｰﾙ_ソフトSS概算見積_03062１営業修正_＜3産2＞見積条件040127" xfId="2238" xr:uid="{00000000-0005-0000-0000-0000DB080000}"/>
    <cellStyle name="見積-桁区切り_原価計画書(R-T社開発)_WRS新卒全体ｽｹｼﾞｭｰﾙ_WRS新卒全体ｽｹｼﾞｭｰﾙ_ソフトSS概算見積_03062１営業修正_＜3産2＞見積条件040127" xfId="2239" xr:uid="{00000000-0005-0000-0000-0000DC080000}"/>
    <cellStyle name="見積桁区切り_原価計画書(R-T社開発)_WRS新卒全体ｽｹｼﾞｭｰﾙ_WRS新卒全体ｽｹｼﾞｭｰﾙ_ソフトSS概算見積_03062１営業修正_JITEC見積_03.10.1" xfId="2240" xr:uid="{00000000-0005-0000-0000-0000DD080000}"/>
    <cellStyle name="見積-桁区切り_原価計画書(R-T社開発)_WRS新卒全体ｽｹｼﾞｭｰﾙ_WRS新卒全体ｽｹｼﾞｭｰﾙ_ソフトSS概算見積_03062１営業修正_JITEC見積_03.10.1" xfId="2241" xr:uid="{00000000-0005-0000-0000-0000DE080000}"/>
    <cellStyle name="見積桁区切り_原価計画書(R-T社開発)_WRS新卒全体ｽｹｼﾞｭｰﾙ_WRS新卒全体ｽｹｼﾞｭｰﾙ_ソフトSS概算見積_03062１営業修正_JITEC見積_03.10.1_工数内訳" xfId="2242" xr:uid="{00000000-0005-0000-0000-0000DF080000}"/>
    <cellStyle name="見積-桁区切り_原価計画書(R-T社開発)_WRS新卒全体ｽｹｼﾞｭｰﾙ_WRS新卒全体ｽｹｼﾞｭｰﾙ_ソフトSS概算見積_03062１営業修正_JITEC見積_03.10.1_工数内訳" xfId="2243" xr:uid="{00000000-0005-0000-0000-0000E0080000}"/>
    <cellStyle name="見積桁区切り_原価計画書(R-T社開発)_WRS新卒全体ｽｹｼﾞｭｰﾙ_WRS新卒全体ｽｹｼﾞｭｰﾙ_ソフトSS概算見積_03062１営業修正_JITEC見積_03.9.28" xfId="2244" xr:uid="{00000000-0005-0000-0000-0000E1080000}"/>
    <cellStyle name="見積-桁区切り_原価計画書(R-T社開発)_WRS新卒全体ｽｹｼﾞｭｰﾙ_WRS新卒全体ｽｹｼﾞｭｰﾙ_ソフトSS概算見積_03062１営業修正_JITEC見積_03.9.28" xfId="2245" xr:uid="{00000000-0005-0000-0000-0000E2080000}"/>
    <cellStyle name="見積桁区切り_原価計画書(R-T社開発)_WRS新卒全体ｽｹｼﾞｭｰﾙ_WRS新卒全体ｽｹｼﾞｭｰﾙ_ソフトSS概算見積_03062１営業修正_ソフトSS概算見" xfId="2246" xr:uid="{00000000-0005-0000-0000-0000E3080000}"/>
    <cellStyle name="見積-桁区切り_原価計画書(R-T社開発)_WRS新卒全体ｽｹｼﾞｭｰﾙ_WRS新卒全体ｽｹｼﾞｭｰﾙ_ソフトSS概算見積_03062１営業修正_ソフトSS概算見" xfId="2247" xr:uid="{00000000-0005-0000-0000-0000E4080000}"/>
    <cellStyle name="見積桁区切り_原価計画書(R-T社開発)_WRS新卒全体ｽｹｼﾞｭｰﾙ_WRS新卒全体ｽｹｼﾞｭｰﾙ_ソフトSS概算見積_03062１営業修正_ソフトSS概算見_＜3産2＞見積条件040127" xfId="2248" xr:uid="{00000000-0005-0000-0000-0000E5080000}"/>
    <cellStyle name="見積-桁区切り_原価計画書(R-T社開発)_WRS新卒全体ｽｹｼﾞｭｰﾙ_WRS新卒全体ｽｹｼﾞｭｰﾙ_ソフトSS概算見積_03062１営業修正_ソフトSS概算見_＜3産2＞見積条件040127" xfId="2249" xr:uid="{00000000-0005-0000-0000-0000E6080000}"/>
    <cellStyle name="見積桁区切り_原価計画書(R-T社開発)_WRS新卒全体ｽｹｼﾞｭｰﾙ_WRS新卒全体ｽｹｼﾞｭｰﾙ_ソフトSS概算見積_03062１営業修正_ソフトSS概算見_JITEC見積_03.10.1" xfId="2250" xr:uid="{00000000-0005-0000-0000-0000E7080000}"/>
    <cellStyle name="見積-桁区切り_原価計画書(R-T社開発)_WRS新卒全体ｽｹｼﾞｭｰﾙ_WRS新卒全体ｽｹｼﾞｭｰﾙ_ソフトSS概算見積_03062１営業修正_ソフトSS概算見_JITEC見積_03.10.1" xfId="2251" xr:uid="{00000000-0005-0000-0000-0000E8080000}"/>
    <cellStyle name="見積桁区切り_原価計画書(R-T社開発)_WRS新卒全体ｽｹｼﾞｭｰﾙ_WRS新卒全体ｽｹｼﾞｭｰﾙ_ソフトSS概算見積_03062１営業修正_ソフトSS概算見_JITEC見積_03.10.1_工数内訳" xfId="2252" xr:uid="{00000000-0005-0000-0000-0000E9080000}"/>
    <cellStyle name="見積-桁区切り_原価計画書(R-T社開発)_WRS新卒全体ｽｹｼﾞｭｰﾙ_WRS新卒全体ｽｹｼﾞｭｰﾙ_ソフトSS概算見積_03062１営業修正_ソフトSS概算見_JITEC見積_03.10.1_工数内訳" xfId="2253" xr:uid="{00000000-0005-0000-0000-0000EA080000}"/>
    <cellStyle name="見積桁区切り_原価計画書(R-T社開発)_WRS新卒全体ｽｹｼﾞｭｰﾙ_WRS新卒全体ｽｹｼﾞｭｰﾙ_ソフトSS概算見積_03062１営業修正_ソフトSS概算見_JITEC見積_03.9.28" xfId="2254" xr:uid="{00000000-0005-0000-0000-0000EB080000}"/>
    <cellStyle name="見積-桁区切り_原価計画書(R-T社開発)_WRS新卒全体ｽｹｼﾞｭｰﾙ_WRS新卒全体ｽｹｼﾞｭｰﾙ_ソフトSS概算見積_03062１営業修正_ソフトSS概算見_JITEC見積_03.9.28" xfId="2255" xr:uid="{00000000-0005-0000-0000-0000EC080000}"/>
    <cellStyle name="見積桁区切り_原価計画書(R-T社開発)_WRS新卒全体ｽｹｼﾞｭｰﾙ_WRS新卒全体ｽｹｼﾞｭｰﾙ_ソフトSS概算見積_03062１営業修正_ソフトSS概算見_開発見積" xfId="2256" xr:uid="{00000000-0005-0000-0000-0000ED080000}"/>
    <cellStyle name="見積-桁区切り_原価計画書(R-T社開発)_WRS新卒全体ｽｹｼﾞｭｰﾙ_WRS新卒全体ｽｹｼﾞｭｰﾙ_ソフトSS概算見積_03062１営業修正_ソフトSS概算見_開発見積" xfId="2257" xr:uid="{00000000-0005-0000-0000-0000EE080000}"/>
    <cellStyle name="見積桁区切り_原価計画書(R-T社開発)_WRS新卒全体ｽｹｼﾞｭｰﾙ_WRS新卒全体ｽｹｼﾞｭｰﾙ_ソフトSS概算見積_03062１営業修正_開発見積" xfId="2258" xr:uid="{00000000-0005-0000-0000-0000EF080000}"/>
    <cellStyle name="見積-桁区切り_原価計画書(R-T社開発)_WRS新卒全体ｽｹｼﾞｭｰﾙ_WRS新卒全体ｽｹｼﾞｭｰﾙ_ソフトSS概算見積_03062１営業修正_開発見積" xfId="2259" xr:uid="{00000000-0005-0000-0000-0000F0080000}"/>
    <cellStyle name="見積桁区切り_原価計画書(R-T社開発)_WRS新卒全体ｽｹｼﾞｭｰﾙ_WRS新卒全体ｽｹｼﾞｭｰﾙ_ソフトSS概算見積_030627" xfId="2260" xr:uid="{00000000-0005-0000-0000-0000F1080000}"/>
    <cellStyle name="見積-桁区切り_原価計画書(R-T社開発)_WRS新卒全体ｽｹｼﾞｭｰﾙ_WRS新卒全体ｽｹｼﾞｭｰﾙ_ソフトSS概算見積_030627" xfId="2261" xr:uid="{00000000-0005-0000-0000-0000F2080000}"/>
    <cellStyle name="見積桁区切り_原価計画書(R-T社開発)_WRS新卒全体ｽｹｼﾞｭｰﾙ_WRS新卒全体ｽｹｼﾞｭｰﾙ_開発見積" xfId="2262" xr:uid="{00000000-0005-0000-0000-0000F3080000}"/>
    <cellStyle name="見積-桁区切り_原価計画書(R-T社開発)_WRS新卒全体ｽｹｼﾞｭｰﾙ_WRS新卒全体ｽｹｼﾞｭｰﾙ_開発見積" xfId="2263" xr:uid="{00000000-0005-0000-0000-0000F4080000}"/>
    <cellStyle name="見積桁区切り_原価計画書(R-T社開発)_WRS新卒全体ｽｹｼﾞｭｰﾙ_WRS新卒全体ｽｹｼﾞｭｰﾙ_自治体向けｻｲﾄ構築機能整理表_Ver2" xfId="2264" xr:uid="{00000000-0005-0000-0000-0000F5080000}"/>
    <cellStyle name="見積-桁区切り_原価計画書(R-T社開発)_WRS新卒全体ｽｹｼﾞｭｰﾙ_WRS新卒全体ｽｹｼﾞｭｰﾙ_自治体向けｻｲﾄ構築機能整理表_Ver2" xfId="2265" xr:uid="{00000000-0005-0000-0000-0000F6080000}"/>
    <cellStyle name="見積桁区切り_原価計画書(R-T社開発)_WRS新卒全体ｽｹｼﾞｭｰﾙ_ソフトSS概算見積_030620" xfId="2266" xr:uid="{00000000-0005-0000-0000-0000F7080000}"/>
    <cellStyle name="見積-桁区切り_原価計画書(R-T社開発)_WRS新卒全体ｽｹｼﾞｭｰﾙ_ソフトSS概算見積_030620" xfId="2267" xr:uid="{00000000-0005-0000-0000-0000F8080000}"/>
    <cellStyle name="見積桁区切り_原価計画書(R-T社開発)_WRS新卒全体ｽｹｼﾞｭｰﾙ_ソフトSS概算見積_030620_＜3産2＞見積条件040127" xfId="2268" xr:uid="{00000000-0005-0000-0000-0000F9080000}"/>
    <cellStyle name="見積-桁区切り_原価計画書(R-T社開発)_WRS新卒全体ｽｹｼﾞｭｰﾙ_ソフトSS概算見積_030620_＜3産2＞見積条件040127" xfId="2269" xr:uid="{00000000-0005-0000-0000-0000FA080000}"/>
    <cellStyle name="見積桁区切り_原価計画書(R-T社開発)_WRS新卒全体ｽｹｼﾞｭｰﾙ_ソフトSS概算見積_030620_1" xfId="2270" xr:uid="{00000000-0005-0000-0000-0000FB080000}"/>
    <cellStyle name="見積-桁区切り_原価計画書(R-T社開発)_WRS新卒全体ｽｹｼﾞｭｰﾙ_ソフトSS概算見積_030620_1" xfId="2271" xr:uid="{00000000-0005-0000-0000-0000FC080000}"/>
    <cellStyle name="見積桁区切り_原価計画書(R-T社開発)_WRS新卒全体ｽｹｼﾞｭｰﾙ_ソフトSS概算見積_030620_JITEC見積_03.10.1" xfId="2272" xr:uid="{00000000-0005-0000-0000-0000FD080000}"/>
    <cellStyle name="見積-桁区切り_原価計画書(R-T社開発)_WRS新卒全体ｽｹｼﾞｭｰﾙ_ソフトSS概算見積_030620_JITEC見積_03.10.1" xfId="2273" xr:uid="{00000000-0005-0000-0000-0000FE080000}"/>
    <cellStyle name="見積桁区切り_原価計画書(R-T社開発)_WRS新卒全体ｽｹｼﾞｭｰﾙ_ソフトSS概算見積_030620_JITEC見積_03.10.1_工数内訳" xfId="2274" xr:uid="{00000000-0005-0000-0000-0000FF080000}"/>
    <cellStyle name="見積-桁区切り_原価計画書(R-T社開発)_WRS新卒全体ｽｹｼﾞｭｰﾙ_ソフトSS概算見積_030620_JITEC見積_03.10.1_工数内訳" xfId="2275" xr:uid="{00000000-0005-0000-0000-000000090000}"/>
    <cellStyle name="見積桁区切り_原価計画書(R-T社開発)_WRS新卒全体ｽｹｼﾞｭｰﾙ_ソフトSS概算見積_030620_JITEC見積_03.9.28" xfId="2276" xr:uid="{00000000-0005-0000-0000-000001090000}"/>
    <cellStyle name="見積-桁区切り_原価計画書(R-T社開発)_WRS新卒全体ｽｹｼﾞｭｰﾙ_ソフトSS概算見積_030620_JITEC見積_03.9.28" xfId="2277" xr:uid="{00000000-0005-0000-0000-000002090000}"/>
    <cellStyle name="見積桁区切り_原価計画書(R-T社開発)_WRS新卒全体ｽｹｼﾞｭｰﾙ_ソフトSS概算見積_030620_ソフトSS概算見" xfId="2278" xr:uid="{00000000-0005-0000-0000-000003090000}"/>
    <cellStyle name="見積-桁区切り_原価計画書(R-T社開発)_WRS新卒全体ｽｹｼﾞｭｰﾙ_ソフトSS概算見積_030620_ソフトSS概算見" xfId="2279" xr:uid="{00000000-0005-0000-0000-000004090000}"/>
    <cellStyle name="見積桁区切り_原価計画書(R-T社開発)_WRS新卒全体ｽｹｼﾞｭｰﾙ_ソフトSS概算見積_030620_ソフトSS概算見_＜3産2＞見積条件040127" xfId="2280" xr:uid="{00000000-0005-0000-0000-000005090000}"/>
    <cellStyle name="見積-桁区切り_原価計画書(R-T社開発)_WRS新卒全体ｽｹｼﾞｭｰﾙ_ソフトSS概算見積_030620_ソフトSS概算見_＜3産2＞見積条件040127" xfId="2281" xr:uid="{00000000-0005-0000-0000-000006090000}"/>
    <cellStyle name="見積桁区切り_原価計画書(R-T社開発)_WRS新卒全体ｽｹｼﾞｭｰﾙ_ソフトSS概算見積_030620_ソフトSS概算見_JITEC見積_03.10.1" xfId="2282" xr:uid="{00000000-0005-0000-0000-000007090000}"/>
    <cellStyle name="見積-桁区切り_原価計画書(R-T社開発)_WRS新卒全体ｽｹｼﾞｭｰﾙ_ソフトSS概算見積_030620_ソフトSS概算見_JITEC見積_03.10.1" xfId="2283" xr:uid="{00000000-0005-0000-0000-000008090000}"/>
    <cellStyle name="見積桁区切り_原価計画書(R-T社開発)_WRS新卒全体ｽｹｼﾞｭｰﾙ_ソフトSS概算見積_030620_ソフトSS概算見_JITEC見積_03.10.1_工数内訳" xfId="2284" xr:uid="{00000000-0005-0000-0000-000009090000}"/>
    <cellStyle name="見積-桁区切り_原価計画書(R-T社開発)_WRS新卒全体ｽｹｼﾞｭｰﾙ_ソフトSS概算見積_030620_ソフトSS概算見_JITEC見積_03.10.1_工数内訳" xfId="2285" xr:uid="{00000000-0005-0000-0000-00000A090000}"/>
    <cellStyle name="見積桁区切り_原価計画書(R-T社開発)_WRS新卒全体ｽｹｼﾞｭｰﾙ_ソフトSS概算見積_030620_ソフトSS概算見_JITEC見積_03.9.28" xfId="2286" xr:uid="{00000000-0005-0000-0000-00000B090000}"/>
    <cellStyle name="見積-桁区切り_原価計画書(R-T社開発)_WRS新卒全体ｽｹｼﾞｭｰﾙ_ソフトSS概算見積_030620_ソフトSS概算見_JITEC見積_03.9.28" xfId="2287" xr:uid="{00000000-0005-0000-0000-00000C090000}"/>
    <cellStyle name="見積桁区切り_原価計画書(R-T社開発)_WRS新卒全体ｽｹｼﾞｭｰﾙ_ソフトSS概算見積_030620_ソフトSS概算見_開発見積" xfId="2288" xr:uid="{00000000-0005-0000-0000-00000D090000}"/>
    <cellStyle name="見積-桁区切り_原価計画書(R-T社開発)_WRS新卒全体ｽｹｼﾞｭｰﾙ_ソフトSS概算見積_030620_ソフトSS概算見_開発見積" xfId="2289" xr:uid="{00000000-0005-0000-0000-00000E090000}"/>
    <cellStyle name="見積桁区切り_原価計画書(R-T社開発)_WRS新卒全体ｽｹｼﾞｭｰﾙ_ソフトSS概算見積_030620_ソフトSS概算見積_030620" xfId="2290" xr:uid="{00000000-0005-0000-0000-00000F090000}"/>
    <cellStyle name="見積-桁区切り_原価計画書(R-T社開発)_WRS新卒全体ｽｹｼﾞｭｰﾙ_ソフトSS概算見積_030620_ソフトSS概算見積_030620" xfId="2291" xr:uid="{00000000-0005-0000-0000-000010090000}"/>
    <cellStyle name="見積桁区切り_原価計画書(R-T社開発)_WRS新卒全体ｽｹｼﾞｭｰﾙ_ソフトSS概算見積_030620_ソフトSS概算見積_030627" xfId="2292" xr:uid="{00000000-0005-0000-0000-000011090000}"/>
    <cellStyle name="見積-桁区切り_原価計画書(R-T社開発)_WRS新卒全体ｽｹｼﾞｭｰﾙ_ソフトSS概算見積_030620_ソフトSS概算見積_030627" xfId="2293" xr:uid="{00000000-0005-0000-0000-000012090000}"/>
    <cellStyle name="見積桁区切り_原価計画書(R-T社開発)_WRS新卒全体ｽｹｼﾞｭｰﾙ_ソフトSS概算見積_030620_ソフトSS概算見積_030627_＜3産2＞見積条件040127" xfId="2294" xr:uid="{00000000-0005-0000-0000-000013090000}"/>
    <cellStyle name="見積-桁区切り_原価計画書(R-T社開発)_WRS新卒全体ｽｹｼﾞｭｰﾙ_ソフトSS概算見積_030620_ソフトSS概算見積_030627_＜3産2＞見積条件040127" xfId="2295" xr:uid="{00000000-0005-0000-0000-000014090000}"/>
    <cellStyle name="見積桁区切り_原価計画書(R-T社開発)_WRS新卒全体ｽｹｼﾞｭｰﾙ_ソフトSS概算見積_030620_ソフトSS概算見積_030627_1" xfId="2296" xr:uid="{00000000-0005-0000-0000-000015090000}"/>
    <cellStyle name="見積-桁区切り_原価計画書(R-T社開発)_WRS新卒全体ｽｹｼﾞｭｰﾙ_ソフトSS概算見積_030620_ソフトSS概算見積_030627_1" xfId="2297" xr:uid="{00000000-0005-0000-0000-000016090000}"/>
    <cellStyle name="見積桁区切り_原価計画書(R-T社開発)_WRS新卒全体ｽｹｼﾞｭｰﾙ_ソフトSS概算見積_030620_ソフトSS概算見積_030627_JITEC見積_03.10.1" xfId="2298" xr:uid="{00000000-0005-0000-0000-000017090000}"/>
    <cellStyle name="見積-桁区切り_原価計画書(R-T社開発)_WRS新卒全体ｽｹｼﾞｭｰﾙ_ソフトSS概算見積_030620_ソフトSS概算見積_030627_JITEC見積_03.10.1" xfId="2299" xr:uid="{00000000-0005-0000-0000-000018090000}"/>
    <cellStyle name="見積桁区切り_原価計画書(R-T社開発)_WRS新卒全体ｽｹｼﾞｭｰﾙ_ソフトSS概算見積_030620_ソフトSS概算見積_030627_JITEC見積_03.10.1_工数内訳" xfId="2300" xr:uid="{00000000-0005-0000-0000-000019090000}"/>
    <cellStyle name="見積-桁区切り_原価計画書(R-T社開発)_WRS新卒全体ｽｹｼﾞｭｰﾙ_ソフトSS概算見積_030620_ソフトSS概算見積_030627_JITEC見積_03.10.1_工数内訳" xfId="2301" xr:uid="{00000000-0005-0000-0000-00001A090000}"/>
    <cellStyle name="見積桁区切り_原価計画書(R-T社開発)_WRS新卒全体ｽｹｼﾞｭｰﾙ_ソフトSS概算見積_030620_ソフトSS概算見積_030627_JITEC見積_03.9.28" xfId="2302" xr:uid="{00000000-0005-0000-0000-00001B090000}"/>
    <cellStyle name="見積-桁区切り_原価計画書(R-T社開発)_WRS新卒全体ｽｹｼﾞｭｰﾙ_ソフトSS概算見積_030620_ソフトSS概算見積_030627_JITEC見積_03.9.28" xfId="2303" xr:uid="{00000000-0005-0000-0000-00001C090000}"/>
    <cellStyle name="見積桁区切り_原価計画書(R-T社開発)_WRS新卒全体ｽｹｼﾞｭｰﾙ_ソフトSS概算見積_030620_ソフトSS概算見積_030627_ソフトSS概算見積_030627" xfId="2304" xr:uid="{00000000-0005-0000-0000-00001D090000}"/>
    <cellStyle name="見積-桁区切り_原価計画書(R-T社開発)_WRS新卒全体ｽｹｼﾞｭｰﾙ_ソフトSS概算見積_030620_ソフトSS概算見積_030627_ソフトSS概算見積_030627" xfId="2305" xr:uid="{00000000-0005-0000-0000-00001E090000}"/>
    <cellStyle name="見積桁区切り_原価計画書(R-T社開発)_WRS新卒全体ｽｹｼﾞｭｰﾙ_ソフトSS概算見積_030620_ソフトSS概算見積_030627_開発見積" xfId="2306" xr:uid="{00000000-0005-0000-0000-00001F090000}"/>
    <cellStyle name="見積-桁区切り_原価計画書(R-T社開発)_WRS新卒全体ｽｹｼﾞｭｰﾙ_ソフトSS概算見積_030620_ソフトSS概算見積_030627_開発見積" xfId="2307" xr:uid="{00000000-0005-0000-0000-000020090000}"/>
    <cellStyle name="見積桁区切り_原価計画書(R-T社開発)_WRS新卒全体ｽｹｼﾞｭｰﾙ_ソフトSS概算見積_030620_開発見積" xfId="2308" xr:uid="{00000000-0005-0000-0000-000021090000}"/>
    <cellStyle name="見積-桁区切り_原価計画書(R-T社開発)_WRS新卒全体ｽｹｼﾞｭｰﾙ_ソフトSS概算見積_030620_開発見積" xfId="2309" xr:uid="{00000000-0005-0000-0000-000022090000}"/>
    <cellStyle name="見積桁区切り_原価計画書(R-T社開発)_WRS新卒全体ｽｹｼﾞｭｰﾙ_ソフトSS概算見積_03062１営業修正" xfId="2310" xr:uid="{00000000-0005-0000-0000-000023090000}"/>
    <cellStyle name="見積-桁区切り_原価計画書(R-T社開発)_WRS新卒全体ｽｹｼﾞｭｰﾙ_ソフトSS概算見積_03062１営業修正" xfId="2311" xr:uid="{00000000-0005-0000-0000-000024090000}"/>
    <cellStyle name="見積桁区切り_原価計画書(R-T社開発)_WRS新卒全体ｽｹｼﾞｭｰﾙ_ソフトSS概算見積_03062１営業修正_＜3産2＞見積条件040127" xfId="2312" xr:uid="{00000000-0005-0000-0000-000025090000}"/>
    <cellStyle name="見積-桁区切り_原価計画書(R-T社開発)_WRS新卒全体ｽｹｼﾞｭｰﾙ_ソフトSS概算見積_03062１営業修正_＜3産2＞見積条件040127" xfId="2313" xr:uid="{00000000-0005-0000-0000-000026090000}"/>
    <cellStyle name="見積桁区切り_原価計画書(R-T社開発)_WRS新卒全体ｽｹｼﾞｭｰﾙ_ソフトSS概算見積_03062１営業修正_JITEC見積_03.10.1" xfId="2314" xr:uid="{00000000-0005-0000-0000-000027090000}"/>
    <cellStyle name="見積-桁区切り_原価計画書(R-T社開発)_WRS新卒全体ｽｹｼﾞｭｰﾙ_ソフトSS概算見積_03062１営業修正_JITEC見積_03.10.1" xfId="2315" xr:uid="{00000000-0005-0000-0000-000028090000}"/>
    <cellStyle name="見積桁区切り_原価計画書(R-T社開発)_WRS新卒全体ｽｹｼﾞｭｰﾙ_ソフトSS概算見積_03062１営業修正_JITEC見積_03.10.1_工数内訳" xfId="2316" xr:uid="{00000000-0005-0000-0000-000029090000}"/>
    <cellStyle name="見積-桁区切り_原価計画書(R-T社開発)_WRS新卒全体ｽｹｼﾞｭｰﾙ_ソフトSS概算見積_03062１営業修正_JITEC見積_03.10.1_工数内訳" xfId="2317" xr:uid="{00000000-0005-0000-0000-00002A090000}"/>
    <cellStyle name="見積桁区切り_原価計画書(R-T社開発)_WRS新卒全体ｽｹｼﾞｭｰﾙ_ソフトSS概算見積_03062１営業修正_JITEC見積_03.9.28" xfId="2318" xr:uid="{00000000-0005-0000-0000-00002B090000}"/>
    <cellStyle name="見積-桁区切り_原価計画書(R-T社開発)_WRS新卒全体ｽｹｼﾞｭｰﾙ_ソフトSS概算見積_03062１営業修正_JITEC見積_03.9.28" xfId="2319" xr:uid="{00000000-0005-0000-0000-00002C090000}"/>
    <cellStyle name="見積桁区切り_原価計画書(R-T社開発)_WRS新卒全体ｽｹｼﾞｭｰﾙ_ソフトSS概算見積_03062１営業修正_ソフトSS概算見" xfId="2320" xr:uid="{00000000-0005-0000-0000-00002D090000}"/>
    <cellStyle name="見積-桁区切り_原価計画書(R-T社開発)_WRS新卒全体ｽｹｼﾞｭｰﾙ_ソフトSS概算見積_03062１営業修正_ソフトSS概算見" xfId="2321" xr:uid="{00000000-0005-0000-0000-00002E090000}"/>
    <cellStyle name="見積桁区切り_原価計画書(R-T社開発)_WRS新卒全体ｽｹｼﾞｭｰﾙ_ソフトSS概算見積_03062１営業修正_ソフトSS概算見_＜3産2＞見積条件040127" xfId="2322" xr:uid="{00000000-0005-0000-0000-00002F090000}"/>
    <cellStyle name="見積-桁区切り_原価計画書(R-T社開発)_WRS新卒全体ｽｹｼﾞｭｰﾙ_ソフトSS概算見積_03062１営業修正_ソフトSS概算見_＜3産2＞見積条件040127" xfId="2323" xr:uid="{00000000-0005-0000-0000-000030090000}"/>
    <cellStyle name="見積桁区切り_原価計画書(R-T社開発)_WRS新卒全体ｽｹｼﾞｭｰﾙ_ソフトSS概算見積_03062１営業修正_ソフトSS概算見_JITEC見積_03.10.1" xfId="2324" xr:uid="{00000000-0005-0000-0000-000031090000}"/>
    <cellStyle name="見積-桁区切り_原価計画書(R-T社開発)_WRS新卒全体ｽｹｼﾞｭｰﾙ_ソフトSS概算見積_03062１営業修正_ソフトSS概算見_JITEC見積_03.10.1" xfId="2325" xr:uid="{00000000-0005-0000-0000-000032090000}"/>
    <cellStyle name="見積桁区切り_原価計画書(R-T社開発)_WRS新卒全体ｽｹｼﾞｭｰﾙ_ソフトSS概算見積_03062１営業修正_ソフトSS概算見_JITEC見積_03.10.1_工数内訳" xfId="2326" xr:uid="{00000000-0005-0000-0000-000033090000}"/>
    <cellStyle name="見積-桁区切り_原価計画書(R-T社開発)_WRS新卒全体ｽｹｼﾞｭｰﾙ_ソフトSS概算見積_03062１営業修正_ソフトSS概算見_JITEC見積_03.10.1_工数内訳" xfId="2327" xr:uid="{00000000-0005-0000-0000-000034090000}"/>
    <cellStyle name="見積桁区切り_原価計画書(R-T社開発)_WRS新卒全体ｽｹｼﾞｭｰﾙ_ソフトSS概算見積_03062１営業修正_ソフトSS概算見_JITEC見積_03.9.28" xfId="2328" xr:uid="{00000000-0005-0000-0000-000035090000}"/>
    <cellStyle name="見積-桁区切り_原価計画書(R-T社開発)_WRS新卒全体ｽｹｼﾞｭｰﾙ_ソフトSS概算見積_03062１営業修正_ソフトSS概算見_JITEC見積_03.9.28" xfId="2329" xr:uid="{00000000-0005-0000-0000-000036090000}"/>
    <cellStyle name="見積桁区切り_原価計画書(R-T社開発)_WRS新卒全体ｽｹｼﾞｭｰﾙ_ソフトSS概算見積_03062１営業修正_ソフトSS概算見_開発見積" xfId="2330" xr:uid="{00000000-0005-0000-0000-000037090000}"/>
    <cellStyle name="見積-桁区切り_原価計画書(R-T社開発)_WRS新卒全体ｽｹｼﾞｭｰﾙ_ソフトSS概算見積_03062１営業修正_ソフトSS概算見_開発見積" xfId="2331" xr:uid="{00000000-0005-0000-0000-000038090000}"/>
    <cellStyle name="見積桁区切り_原価計画書(R-T社開発)_WRS新卒全体ｽｹｼﾞｭｰﾙ_ソフトSS概算見積_03062１営業修正_開発見積" xfId="2332" xr:uid="{00000000-0005-0000-0000-000039090000}"/>
    <cellStyle name="見積-桁区切り_原価計画書(R-T社開発)_WRS新卒全体ｽｹｼﾞｭｰﾙ_ソフトSS概算見積_03062１営業修正_開発見積" xfId="2333" xr:uid="{00000000-0005-0000-0000-00003A090000}"/>
    <cellStyle name="見積桁区切り_原価計画書(R-T社開発)_WRS新卒全体ｽｹｼﾞｭｰﾙ_ソフトSS概算見積_030627" xfId="2334" xr:uid="{00000000-0005-0000-0000-00003B090000}"/>
    <cellStyle name="見積-桁区切り_原価計画書(R-T社開発)_WRS新卒全体ｽｹｼﾞｭｰﾙ_ソフトSS概算見積_030627" xfId="2335" xr:uid="{00000000-0005-0000-0000-00003C090000}"/>
    <cellStyle name="見積桁区切り_原価計画書(R-T社開発)_WRS新卒全体ｽｹｼﾞｭｰﾙ_開発見積" xfId="2336" xr:uid="{00000000-0005-0000-0000-00003D090000}"/>
    <cellStyle name="見積-桁区切り_原価計画書(R-T社開発)_WRS新卒全体ｽｹｼﾞｭｰﾙ_開発見積" xfId="2337" xr:uid="{00000000-0005-0000-0000-00003E090000}"/>
    <cellStyle name="見積桁区切り_原価計画書(R-T社開発)_WRS新卒全体ｽｹｼﾞｭｰﾙ_自治体向けｻｲﾄ構築機能整理表_Ver2" xfId="2338" xr:uid="{00000000-0005-0000-0000-00003F090000}"/>
    <cellStyle name="見積-桁区切り_原価計画書(R-T社開発)_WRS新卒全体ｽｹｼﾞｭｰﾙ_自治体向けｻｲﾄ構築機能整理表_Ver2" xfId="2339" xr:uid="{00000000-0005-0000-0000-000040090000}"/>
    <cellStyle name="見積桁区切り_原価計画書(R-T社開発)_WRS新卒全体ｽｹｼﾞｭｰﾙ_提示版" xfId="2340" xr:uid="{00000000-0005-0000-0000-000041090000}"/>
    <cellStyle name="見積-桁区切り_原価計画書(R-T社開発)_WRS新卒全体ｽｹｼﾞｭｰﾙ_提示版" xfId="2341" xr:uid="{00000000-0005-0000-0000-000042090000}"/>
    <cellStyle name="見積桁区切り_原価計画書(R-T社開発)_WRS新卒全体ｽｹｼﾞｭｰﾙ_提示版_＜3産2＞見積条件040127" xfId="2342" xr:uid="{00000000-0005-0000-0000-000043090000}"/>
    <cellStyle name="見積-桁区切り_原価計画書(R-T社開発)_WRS新卒全体ｽｹｼﾞｭｰﾙ_提示版_＜3産2＞見積条件040127" xfId="2343" xr:uid="{00000000-0005-0000-0000-000044090000}"/>
    <cellStyle name="見積桁区切り_原価計画書(R-T社開発)_WRS新卒全体ｽｹｼﾞｭｰﾙ_提示版_JITEC見積_03.10.1" xfId="2344" xr:uid="{00000000-0005-0000-0000-000045090000}"/>
    <cellStyle name="見積-桁区切り_原価計画書(R-T社開発)_WRS新卒全体ｽｹｼﾞｭｰﾙ_提示版_JITEC見積_03.10.1" xfId="2345" xr:uid="{00000000-0005-0000-0000-000046090000}"/>
    <cellStyle name="見積桁区切り_原価計画書(R-T社開発)_WRS新卒全体ｽｹｼﾞｭｰﾙ_提示版_JITEC見積_03.10.1_工数内訳" xfId="2346" xr:uid="{00000000-0005-0000-0000-000047090000}"/>
    <cellStyle name="見積-桁区切り_原価計画書(R-T社開発)_WRS新卒全体ｽｹｼﾞｭｰﾙ_提示版_JITEC見積_03.10.1_工数内訳" xfId="2347" xr:uid="{00000000-0005-0000-0000-000048090000}"/>
    <cellStyle name="見積桁区切り_原価計画書(R-T社開発)_WRS新卒全体ｽｹｼﾞｭｰﾙ_提示版_JITEC見積_03.9.28" xfId="2348" xr:uid="{00000000-0005-0000-0000-000049090000}"/>
    <cellStyle name="見積-桁区切り_原価計画書(R-T社開発)_WRS新卒全体ｽｹｼﾞｭｰﾙ_提示版_JITEC見積_03.9.28" xfId="2349" xr:uid="{00000000-0005-0000-0000-00004A090000}"/>
    <cellStyle name="見積桁区切り_原価計画書(R-T社開発)_WRS新卒全体ｽｹｼﾞｭｰﾙ_提示版_ソフトSS概算見積_030620" xfId="2350" xr:uid="{00000000-0005-0000-0000-00004B090000}"/>
    <cellStyle name="見積-桁区切り_原価計画書(R-T社開発)_WRS新卒全体ｽｹｼﾞｭｰﾙ_提示版_ソフトSS概算見積_030620" xfId="2351" xr:uid="{00000000-0005-0000-0000-00004C090000}"/>
    <cellStyle name="見積桁区切り_原価計画書(R-T社開発)_WRS新卒全体ｽｹｼﾞｭｰﾙ_提示版_ソフトSS概算見積_030620_＜3産2＞見積条件040127" xfId="2352" xr:uid="{00000000-0005-0000-0000-00004D090000}"/>
    <cellStyle name="見積-桁区切り_原価計画書(R-T社開発)_WRS新卒全体ｽｹｼﾞｭｰﾙ_提示版_ソフトSS概算見積_030620_＜3産2＞見積条件040127" xfId="2353" xr:uid="{00000000-0005-0000-0000-00004E090000}"/>
    <cellStyle name="見積桁区切り_原価計画書(R-T社開発)_WRS新卒全体ｽｹｼﾞｭｰﾙ_提示版_ソフトSS概算見積_030620_1" xfId="2354" xr:uid="{00000000-0005-0000-0000-00004F090000}"/>
    <cellStyle name="見積-桁区切り_原価計画書(R-T社開発)_WRS新卒全体ｽｹｼﾞｭｰﾙ_提示版_ソフトSS概算見積_030620_1" xfId="2355" xr:uid="{00000000-0005-0000-0000-000050090000}"/>
    <cellStyle name="見積桁区切り_原価計画書(R-T社開発)_WRS新卒全体ｽｹｼﾞｭｰﾙ_提示版_ソフトSS概算見積_030620_JITEC見積_03.10.1" xfId="2356" xr:uid="{00000000-0005-0000-0000-000051090000}"/>
    <cellStyle name="見積-桁区切り_原価計画書(R-T社開発)_WRS新卒全体ｽｹｼﾞｭｰﾙ_提示版_ソフトSS概算見積_030620_JITEC見積_03.10.1" xfId="2357" xr:uid="{00000000-0005-0000-0000-000052090000}"/>
    <cellStyle name="見積桁区切り_原価計画書(R-T社開発)_WRS新卒全体ｽｹｼﾞｭｰﾙ_提示版_ソフトSS概算見積_030620_JITEC見積_03.10.1_工数内訳" xfId="2358" xr:uid="{00000000-0005-0000-0000-000053090000}"/>
    <cellStyle name="見積-桁区切り_原価計画書(R-T社開発)_WRS新卒全体ｽｹｼﾞｭｰﾙ_提示版_ソフトSS概算見積_030620_JITEC見積_03.10.1_工数内訳" xfId="2359" xr:uid="{00000000-0005-0000-0000-000054090000}"/>
    <cellStyle name="見積桁区切り_原価計画書(R-T社開発)_WRS新卒全体ｽｹｼﾞｭｰﾙ_提示版_ソフトSS概算見積_030620_JITEC見積_03.9.28" xfId="2360" xr:uid="{00000000-0005-0000-0000-000055090000}"/>
    <cellStyle name="見積-桁区切り_原価計画書(R-T社開発)_WRS新卒全体ｽｹｼﾞｭｰﾙ_提示版_ソフトSS概算見積_030620_JITEC見積_03.9.28" xfId="2361" xr:uid="{00000000-0005-0000-0000-000056090000}"/>
    <cellStyle name="見積桁区切り_原価計画書(R-T社開発)_WRS新卒全体ｽｹｼﾞｭｰﾙ_提示版_ソフトSS概算見積_030620_ソフトSS概算見" xfId="2362" xr:uid="{00000000-0005-0000-0000-000057090000}"/>
    <cellStyle name="見積-桁区切り_原価計画書(R-T社開発)_WRS新卒全体ｽｹｼﾞｭｰﾙ_提示版_ソフトSS概算見積_030620_ソフトSS概算見" xfId="2363" xr:uid="{00000000-0005-0000-0000-000058090000}"/>
    <cellStyle name="見積桁区切り_原価計画書(R-T社開発)_WRS新卒全体ｽｹｼﾞｭｰﾙ_提示版_ソフトSS概算見積_030620_ソフトSS概算見_＜3産2＞見積条件040127" xfId="2364" xr:uid="{00000000-0005-0000-0000-000059090000}"/>
    <cellStyle name="見積-桁区切り_原価計画書(R-T社開発)_WRS新卒全体ｽｹｼﾞｭｰﾙ_提示版_ソフトSS概算見積_030620_ソフトSS概算見_＜3産2＞見積条件040127" xfId="2365" xr:uid="{00000000-0005-0000-0000-00005A090000}"/>
    <cellStyle name="見積桁区切り_原価計画書(R-T社開発)_WRS新卒全体ｽｹｼﾞｭｰﾙ_提示版_ソフトSS概算見積_030620_ソフトSS概算見_JITEC見積_03.10.1" xfId="2366" xr:uid="{00000000-0005-0000-0000-00005B090000}"/>
    <cellStyle name="見積-桁区切り_原価計画書(R-T社開発)_WRS新卒全体ｽｹｼﾞｭｰﾙ_提示版_ソフトSS概算見積_030620_ソフトSS概算見_JITEC見積_03.10.1" xfId="2367" xr:uid="{00000000-0005-0000-0000-00005C090000}"/>
    <cellStyle name="見積桁区切り_原価計画書(R-T社開発)_WRS新卒全体ｽｹｼﾞｭｰﾙ_提示版_ソフトSS概算見積_030620_ソフトSS概算見_JITEC見積_03.10.1_工数内訳" xfId="2368" xr:uid="{00000000-0005-0000-0000-00005D090000}"/>
    <cellStyle name="見積-桁区切り_原価計画書(R-T社開発)_WRS新卒全体ｽｹｼﾞｭｰﾙ_提示版_ソフトSS概算見積_030620_ソフトSS概算見_JITEC見積_03.10.1_工数内訳" xfId="2369" xr:uid="{00000000-0005-0000-0000-00005E090000}"/>
    <cellStyle name="見積桁区切り_原価計画書(R-T社開発)_WRS新卒全体ｽｹｼﾞｭｰﾙ_提示版_ソフトSS概算見積_030620_ソフトSS概算見_JITEC見積_03.9.28" xfId="2370" xr:uid="{00000000-0005-0000-0000-00005F090000}"/>
    <cellStyle name="見積-桁区切り_原価計画書(R-T社開発)_WRS新卒全体ｽｹｼﾞｭｰﾙ_提示版_ソフトSS概算見積_030620_ソフトSS概算見_JITEC見積_03.9.28" xfId="2371" xr:uid="{00000000-0005-0000-0000-000060090000}"/>
    <cellStyle name="見積桁区切り_原価計画書(R-T社開発)_WRS新卒全体ｽｹｼﾞｭｰﾙ_提示版_ソフトSS概算見積_030620_ソフトSS概算見_開発見積" xfId="2372" xr:uid="{00000000-0005-0000-0000-000061090000}"/>
    <cellStyle name="見積-桁区切り_原価計画書(R-T社開発)_WRS新卒全体ｽｹｼﾞｭｰﾙ_提示版_ソフトSS概算見積_030620_ソフトSS概算見_開発見積" xfId="2373" xr:uid="{00000000-0005-0000-0000-000062090000}"/>
    <cellStyle name="見積桁区切り_原価計画書(R-T社開発)_WRS新卒全体ｽｹｼﾞｭｰﾙ_提示版_ソフトSS概算見積_030620_ソフトSS概算見積_030620" xfId="2374" xr:uid="{00000000-0005-0000-0000-000063090000}"/>
    <cellStyle name="見積-桁区切り_原価計画書(R-T社開発)_WRS新卒全体ｽｹｼﾞｭｰﾙ_提示版_ソフトSS概算見積_030620_ソフトSS概算見積_030620" xfId="2375" xr:uid="{00000000-0005-0000-0000-000064090000}"/>
    <cellStyle name="見積桁区切り_原価計画書(R-T社開発)_WRS新卒全体ｽｹｼﾞｭｰﾙ_提示版_ソフトSS概算見積_030620_ソフトSS概算見積_030627" xfId="2376" xr:uid="{00000000-0005-0000-0000-000065090000}"/>
    <cellStyle name="見積-桁区切り_原価計画書(R-T社開発)_WRS新卒全体ｽｹｼﾞｭｰﾙ_提示版_ソフトSS概算見積_030620_ソフトSS概算見積_030627" xfId="2377" xr:uid="{00000000-0005-0000-0000-000066090000}"/>
    <cellStyle name="見積桁区切り_原価計画書(R-T社開発)_WRS新卒全体ｽｹｼﾞｭｰﾙ_提示版_ソフトSS概算見積_030620_ソフトSS概算見積_030627_＜3産2＞見積条件040127" xfId="2378" xr:uid="{00000000-0005-0000-0000-000067090000}"/>
    <cellStyle name="見積-桁区切り_原価計画書(R-T社開発)_WRS新卒全体ｽｹｼﾞｭｰﾙ_提示版_ソフトSS概算見積_030620_ソフトSS概算見積_030627_＜3産2＞見積条件040127" xfId="2379" xr:uid="{00000000-0005-0000-0000-000068090000}"/>
    <cellStyle name="見積桁区切り_原価計画書(R-T社開発)_WRS新卒全体ｽｹｼﾞｭｰﾙ_提示版_ソフトSS概算見積_030620_ソフトSS概算見積_030627_1" xfId="2380" xr:uid="{00000000-0005-0000-0000-000069090000}"/>
    <cellStyle name="見積-桁区切り_原価計画書(R-T社開発)_WRS新卒全体ｽｹｼﾞｭｰﾙ_提示版_ソフトSS概算見積_030620_ソフトSS概算見積_030627_1" xfId="2381" xr:uid="{00000000-0005-0000-0000-00006A090000}"/>
    <cellStyle name="見積桁区切り_原価計画書(R-T社開発)_WRS新卒全体ｽｹｼﾞｭｰﾙ_提示版_ソフトSS概算見積_030620_ソフトSS概算見積_030627_JITEC見積_03.10.1" xfId="2382" xr:uid="{00000000-0005-0000-0000-00006B090000}"/>
    <cellStyle name="見積-桁区切り_原価計画書(R-T社開発)_WRS新卒全体ｽｹｼﾞｭｰﾙ_提示版_ソフトSS概算見積_030620_ソフトSS概算見積_030627_JITEC見積_03.10.1" xfId="2383" xr:uid="{00000000-0005-0000-0000-00006C090000}"/>
    <cellStyle name="見積桁区切り_原価計画書(R-T社開発)_WRS新卒全体ｽｹｼﾞｭｰﾙ_提示版_ソフトSS概算見積_030620_ソフトSS概算見積_030627_JITEC見積_03.10.1_工数内訳" xfId="2384" xr:uid="{00000000-0005-0000-0000-00006D090000}"/>
    <cellStyle name="見積-桁区切り_原価計画書(R-T社開発)_WRS新卒全体ｽｹｼﾞｭｰﾙ_提示版_ソフトSS概算見積_030620_ソフトSS概算見積_030627_JITEC見積_03.10.1_工数内訳" xfId="2385" xr:uid="{00000000-0005-0000-0000-00006E090000}"/>
    <cellStyle name="見積桁区切り_原価計画書(R-T社開発)_WRS新卒全体ｽｹｼﾞｭｰﾙ_提示版_ソフトSS概算見積_030620_ソフトSS概算見積_030627_JITEC見積_03.9.28" xfId="2386" xr:uid="{00000000-0005-0000-0000-00006F090000}"/>
    <cellStyle name="見積-桁区切り_原価計画書(R-T社開発)_WRS新卒全体ｽｹｼﾞｭｰﾙ_提示版_ソフトSS概算見積_030620_ソフトSS概算見積_030627_JITEC見積_03.9.28" xfId="2387" xr:uid="{00000000-0005-0000-0000-000070090000}"/>
    <cellStyle name="見積桁区切り_原価計画書(R-T社開発)_WRS新卒全体ｽｹｼﾞｭｰﾙ_提示版_ソフトSS概算見積_030620_ソフトSS概算見積_030627_ソフトSS概算見積_030627" xfId="2388" xr:uid="{00000000-0005-0000-0000-000071090000}"/>
    <cellStyle name="見積-桁区切り_原価計画書(R-T社開発)_WRS新卒全体ｽｹｼﾞｭｰﾙ_提示版_ソフトSS概算見積_030620_ソフトSS概算見積_030627_ソフトSS概算見積_030627" xfId="2389" xr:uid="{00000000-0005-0000-0000-000072090000}"/>
    <cellStyle name="見積桁区切り_原価計画書(R-T社開発)_WRS新卒全体ｽｹｼﾞｭｰﾙ_提示版_ソフトSS概算見積_030620_ソフトSS概算見積_030627_開発見積" xfId="2390" xr:uid="{00000000-0005-0000-0000-000073090000}"/>
    <cellStyle name="見積-桁区切り_原価計画書(R-T社開発)_WRS新卒全体ｽｹｼﾞｭｰﾙ_提示版_ソフトSS概算見積_030620_ソフトSS概算見積_030627_開発見積" xfId="2391" xr:uid="{00000000-0005-0000-0000-000074090000}"/>
    <cellStyle name="見積桁区切り_原価計画書(R-T社開発)_WRS新卒全体ｽｹｼﾞｭｰﾙ_提示版_ソフトSS概算見積_030620_開発見積" xfId="2392" xr:uid="{00000000-0005-0000-0000-000075090000}"/>
    <cellStyle name="見積-桁区切り_原価計画書(R-T社開発)_WRS新卒全体ｽｹｼﾞｭｰﾙ_提示版_ソフトSS概算見積_030620_開発見積" xfId="2393" xr:uid="{00000000-0005-0000-0000-000076090000}"/>
    <cellStyle name="見積桁区切り_原価計画書(R-T社開発)_WRS新卒全体ｽｹｼﾞｭｰﾙ_提示版_ソフトSS概算見積_03062１営業修正" xfId="2394" xr:uid="{00000000-0005-0000-0000-000077090000}"/>
    <cellStyle name="見積-桁区切り_原価計画書(R-T社開発)_WRS新卒全体ｽｹｼﾞｭｰﾙ_提示版_ソフトSS概算見積_03062１営業修正" xfId="2395" xr:uid="{00000000-0005-0000-0000-000078090000}"/>
    <cellStyle name="見積桁区切り_原価計画書(R-T社開発)_WRS新卒全体ｽｹｼﾞｭｰﾙ_提示版_ソフトSS概算見積_03062１営業修正_＜3産2＞見積条件040127" xfId="2396" xr:uid="{00000000-0005-0000-0000-000079090000}"/>
    <cellStyle name="見積-桁区切り_原価計画書(R-T社開発)_WRS新卒全体ｽｹｼﾞｭｰﾙ_提示版_ソフトSS概算見積_03062１営業修正_＜3産2＞見積条件040127" xfId="2397" xr:uid="{00000000-0005-0000-0000-00007A090000}"/>
    <cellStyle name="見積桁区切り_原価計画書(R-T社開発)_WRS新卒全体ｽｹｼﾞｭｰﾙ_提示版_ソフトSS概算見積_03062１営業修正_JITEC見積_03.10.1" xfId="2398" xr:uid="{00000000-0005-0000-0000-00007B090000}"/>
    <cellStyle name="見積-桁区切り_原価計画書(R-T社開発)_WRS新卒全体ｽｹｼﾞｭｰﾙ_提示版_ソフトSS概算見積_03062１営業修正_JITEC見積_03.10.1" xfId="2399" xr:uid="{00000000-0005-0000-0000-00007C090000}"/>
    <cellStyle name="見積桁区切り_原価計画書(R-T社開発)_WRS新卒全体ｽｹｼﾞｭｰﾙ_提示版_ソフトSS概算見積_03062１営業修正_JITEC見積_03.10.1_工数内訳" xfId="2400" xr:uid="{00000000-0005-0000-0000-00007D090000}"/>
    <cellStyle name="見積-桁区切り_原価計画書(R-T社開発)_WRS新卒全体ｽｹｼﾞｭｰﾙ_提示版_ソフトSS概算見積_03062１営業修正_JITEC見積_03.10.1_工数内訳" xfId="2401" xr:uid="{00000000-0005-0000-0000-00007E090000}"/>
    <cellStyle name="見積桁区切り_原価計画書(R-T社開発)_WRS新卒全体ｽｹｼﾞｭｰﾙ_提示版_ソフトSS概算見積_03062１営業修正_JITEC見積_03.9.28" xfId="2402" xr:uid="{00000000-0005-0000-0000-00007F090000}"/>
    <cellStyle name="見積-桁区切り_原価計画書(R-T社開発)_WRS新卒全体ｽｹｼﾞｭｰﾙ_提示版_ソフトSS概算見積_03062１営業修正_JITEC見積_03.9.28" xfId="2403" xr:uid="{00000000-0005-0000-0000-000080090000}"/>
    <cellStyle name="見積桁区切り_原価計画書(R-T社開発)_WRS新卒全体ｽｹｼﾞｭｰﾙ_提示版_ソフトSS概算見積_03062１営業修正_ソフトSS概算見" xfId="2404" xr:uid="{00000000-0005-0000-0000-000081090000}"/>
    <cellStyle name="見積-桁区切り_原価計画書(R-T社開発)_WRS新卒全体ｽｹｼﾞｭｰﾙ_提示版_ソフトSS概算見積_03062１営業修正_ソフトSS概算見" xfId="2405" xr:uid="{00000000-0005-0000-0000-000082090000}"/>
    <cellStyle name="見積桁区切り_原価計画書(R-T社開発)_WRS新卒全体ｽｹｼﾞｭｰﾙ_提示版_ソフトSS概算見積_03062１営業修正_ソフトSS概算見_＜3産2＞見積条件040127" xfId="2406" xr:uid="{00000000-0005-0000-0000-000083090000}"/>
    <cellStyle name="見積-桁区切り_原価計画書(R-T社開発)_WRS新卒全体ｽｹｼﾞｭｰﾙ_提示版_ソフトSS概算見積_03062１営業修正_ソフトSS概算見_＜3産2＞見積条件040127" xfId="2407" xr:uid="{00000000-0005-0000-0000-000084090000}"/>
    <cellStyle name="見積桁区切り_原価計画書(R-T社開発)_WRS新卒全体ｽｹｼﾞｭｰﾙ_提示版_ソフトSS概算見積_03062１営業修正_ソフトSS概算見_JITEC見積_03.10.1" xfId="2408" xr:uid="{00000000-0005-0000-0000-000085090000}"/>
    <cellStyle name="見積-桁区切り_原価計画書(R-T社開発)_WRS新卒全体ｽｹｼﾞｭｰﾙ_提示版_ソフトSS概算見積_03062１営業修正_ソフトSS概算見_JITEC見積_03.10.1" xfId="2409" xr:uid="{00000000-0005-0000-0000-000086090000}"/>
    <cellStyle name="見積桁区切り_原価計画書(R-T社開発)_WRS新卒全体ｽｹｼﾞｭｰﾙ_提示版_ソフトSS概算見積_03062１営業修正_ソフトSS概算見_JITEC見積_03.10.1_工数内訳" xfId="2410" xr:uid="{00000000-0005-0000-0000-000087090000}"/>
    <cellStyle name="見積-桁区切り_原価計画書(R-T社開発)_WRS新卒全体ｽｹｼﾞｭｰﾙ_提示版_ソフトSS概算見積_03062１営業修正_ソフトSS概算見_JITEC見積_03.10.1_工数内訳" xfId="2411" xr:uid="{00000000-0005-0000-0000-000088090000}"/>
    <cellStyle name="見積桁区切り_原価計画書(R-T社開発)_WRS新卒全体ｽｹｼﾞｭｰﾙ_提示版_ソフトSS概算見積_03062１営業修正_ソフトSS概算見_JITEC見積_03.9.28" xfId="2412" xr:uid="{00000000-0005-0000-0000-000089090000}"/>
    <cellStyle name="見積-桁区切り_原価計画書(R-T社開発)_WRS新卒全体ｽｹｼﾞｭｰﾙ_提示版_ソフトSS概算見積_03062１営業修正_ソフトSS概算見_JITEC見積_03.9.28" xfId="2413" xr:uid="{00000000-0005-0000-0000-00008A090000}"/>
    <cellStyle name="見積桁区切り_原価計画書(R-T社開発)_WRS新卒全体ｽｹｼﾞｭｰﾙ_提示版_ソフトSS概算見積_03062１営業修正_ソフトSS概算見_開発見積" xfId="2414" xr:uid="{00000000-0005-0000-0000-00008B090000}"/>
    <cellStyle name="見積-桁区切り_原価計画書(R-T社開発)_WRS新卒全体ｽｹｼﾞｭｰﾙ_提示版_ソフトSS概算見積_03062１営業修正_ソフトSS概算見_開発見積" xfId="2415" xr:uid="{00000000-0005-0000-0000-00008C090000}"/>
    <cellStyle name="見積桁区切り_原価計画書(R-T社開発)_WRS新卒全体ｽｹｼﾞｭｰﾙ_提示版_ソフトSS概算見積_03062１営業修正_開発見積" xfId="2416" xr:uid="{00000000-0005-0000-0000-00008D090000}"/>
    <cellStyle name="見積-桁区切り_原価計画書(R-T社開発)_WRS新卒全体ｽｹｼﾞｭｰﾙ_提示版_ソフトSS概算見積_03062１営業修正_開発見積" xfId="2417" xr:uid="{00000000-0005-0000-0000-00008E090000}"/>
    <cellStyle name="見積桁区切り_原価計画書(R-T社開発)_WRS新卒全体ｽｹｼﾞｭｰﾙ_提示版_ソフトSS概算見積_030627" xfId="2418" xr:uid="{00000000-0005-0000-0000-00008F090000}"/>
    <cellStyle name="見積-桁区切り_原価計画書(R-T社開発)_WRS新卒全体ｽｹｼﾞｭｰﾙ_提示版_ソフトSS概算見積_030627" xfId="2419" xr:uid="{00000000-0005-0000-0000-000090090000}"/>
    <cellStyle name="見積桁区切り_原価計画書(R-T社開発)_WRS新卒全体ｽｹｼﾞｭｰﾙ_提示版_開発見積" xfId="2420" xr:uid="{00000000-0005-0000-0000-000091090000}"/>
    <cellStyle name="見積-桁区切り_原価計画書(R-T社開発)_WRS新卒全体ｽｹｼﾞｭｰﾙ_提示版_開発見積" xfId="2421" xr:uid="{00000000-0005-0000-0000-000092090000}"/>
    <cellStyle name="見積桁区切り_原価計画書(R-T社開発)_WRS新卒全体ｽｹｼﾞｭｰﾙ_提示版_自治体向けｻｲﾄ構築機能整理表_Ver2" xfId="2422" xr:uid="{00000000-0005-0000-0000-000093090000}"/>
    <cellStyle name="見積-桁区切り_原価計画書(R-T社開発)_WRS新卒全体ｽｹｼﾞｭｰﾙ_提示版_自治体向けｻｲﾄ構築機能整理表_Ver2" xfId="2423" xr:uid="{00000000-0005-0000-0000-000094090000}"/>
    <cellStyle name="見積桁区切り_原価計画書(R-T社開発)_ソフトSS概算見積_030620" xfId="2424" xr:uid="{00000000-0005-0000-0000-000095090000}"/>
    <cellStyle name="見積-桁区切り_原価計画書(R-T社開発)_ソフトSS概算見積_030620" xfId="2425" xr:uid="{00000000-0005-0000-0000-000096090000}"/>
    <cellStyle name="見積桁区切り_原価計画書(R-T社開発)_ソフトSS概算見積_030620_＜3産2＞見積条件040127" xfId="2426" xr:uid="{00000000-0005-0000-0000-000097090000}"/>
    <cellStyle name="見積-桁区切り_原価計画書(R-T社開発)_ソフトSS概算見積_030620_＜3産2＞見積条件040127" xfId="2427" xr:uid="{00000000-0005-0000-0000-000098090000}"/>
    <cellStyle name="見積桁区切り_原価計画書(R-T社開発)_ソフトSS概算見積_030620_1" xfId="2428" xr:uid="{00000000-0005-0000-0000-000099090000}"/>
    <cellStyle name="見積-桁区切り_原価計画書(R-T社開発)_ソフトSS概算見積_030620_1" xfId="2429" xr:uid="{00000000-0005-0000-0000-00009A090000}"/>
    <cellStyle name="見積桁区切り_原価計画書(R-T社開発)_ソフトSS概算見積_030620_JITEC見積_03.10.1" xfId="2430" xr:uid="{00000000-0005-0000-0000-00009B090000}"/>
    <cellStyle name="見積-桁区切り_原価計画書(R-T社開発)_ソフトSS概算見積_030620_JITEC見積_03.10.1" xfId="2431" xr:uid="{00000000-0005-0000-0000-00009C090000}"/>
    <cellStyle name="見積桁区切り_原価計画書(R-T社開発)_ソフトSS概算見積_030620_JITEC見積_03.10.1_工数内訳" xfId="2432" xr:uid="{00000000-0005-0000-0000-00009D090000}"/>
    <cellStyle name="見積-桁区切り_原価計画書(R-T社開発)_ソフトSS概算見積_030620_JITEC見積_03.10.1_工数内訳" xfId="2433" xr:uid="{00000000-0005-0000-0000-00009E090000}"/>
    <cellStyle name="見積桁区切り_原価計画書(R-T社開発)_ソフトSS概算見積_030620_JITEC見積_03.9.28" xfId="2434" xr:uid="{00000000-0005-0000-0000-00009F090000}"/>
    <cellStyle name="見積-桁区切り_原価計画書(R-T社開発)_ソフトSS概算見積_030620_JITEC見積_03.9.28" xfId="2435" xr:uid="{00000000-0005-0000-0000-0000A0090000}"/>
    <cellStyle name="見積桁区切り_原価計画書(R-T社開発)_ソフトSS概算見積_030620_ソフトSS概算見" xfId="2436" xr:uid="{00000000-0005-0000-0000-0000A1090000}"/>
    <cellStyle name="見積-桁区切り_原価計画書(R-T社開発)_ソフトSS概算見積_030620_ソフトSS概算見" xfId="2437" xr:uid="{00000000-0005-0000-0000-0000A2090000}"/>
    <cellStyle name="見積桁区切り_原価計画書(R-T社開発)_ソフトSS概算見積_030620_ソフトSS概算見_＜3産2＞見積条件040127" xfId="2438" xr:uid="{00000000-0005-0000-0000-0000A3090000}"/>
    <cellStyle name="見積-桁区切り_原価計画書(R-T社開発)_ソフトSS概算見積_030620_ソフトSS概算見_＜3産2＞見積条件040127" xfId="2439" xr:uid="{00000000-0005-0000-0000-0000A4090000}"/>
    <cellStyle name="見積桁区切り_原価計画書(R-T社開発)_ソフトSS概算見積_030620_ソフトSS概算見_JITEC見積_03.10.1" xfId="2440" xr:uid="{00000000-0005-0000-0000-0000A5090000}"/>
    <cellStyle name="見積-桁区切り_原価計画書(R-T社開発)_ソフトSS概算見積_030620_ソフトSS概算見_JITEC見積_03.10.1" xfId="2441" xr:uid="{00000000-0005-0000-0000-0000A6090000}"/>
    <cellStyle name="見積桁区切り_原価計画書(R-T社開発)_ソフトSS概算見積_030620_ソフトSS概算見_JITEC見積_03.10.1_工数内訳" xfId="2442" xr:uid="{00000000-0005-0000-0000-0000A7090000}"/>
    <cellStyle name="見積-桁区切り_原価計画書(R-T社開発)_ソフトSS概算見積_030620_ソフトSS概算見_JITEC見積_03.10.1_工数内訳" xfId="2443" xr:uid="{00000000-0005-0000-0000-0000A8090000}"/>
    <cellStyle name="見積桁区切り_原価計画書(R-T社開発)_ソフトSS概算見積_030620_ソフトSS概算見_JITEC見積_03.9.28" xfId="2444" xr:uid="{00000000-0005-0000-0000-0000A9090000}"/>
    <cellStyle name="見積-桁区切り_原価計画書(R-T社開発)_ソフトSS概算見積_030620_ソフトSS概算見_JITEC見積_03.9.28" xfId="2445" xr:uid="{00000000-0005-0000-0000-0000AA090000}"/>
    <cellStyle name="見積桁区切り_原価計画書(R-T社開発)_ソフトSS概算見積_030620_ソフトSS概算見_開発見積" xfId="2446" xr:uid="{00000000-0005-0000-0000-0000AB090000}"/>
    <cellStyle name="見積-桁区切り_原価計画書(R-T社開発)_ソフトSS概算見積_030620_ソフトSS概算見_開発見積" xfId="2447" xr:uid="{00000000-0005-0000-0000-0000AC090000}"/>
    <cellStyle name="見積桁区切り_原価計画書(R-T社開発)_ソフトSS概算見積_030620_ソフトSS概算見積_030620" xfId="2448" xr:uid="{00000000-0005-0000-0000-0000AD090000}"/>
    <cellStyle name="見積-桁区切り_原価計画書(R-T社開発)_ソフトSS概算見積_030620_ソフトSS概算見積_030620" xfId="2449" xr:uid="{00000000-0005-0000-0000-0000AE090000}"/>
    <cellStyle name="見積桁区切り_原価計画書(R-T社開発)_ソフトSS概算見積_030620_ソフトSS概算見積_030627" xfId="2450" xr:uid="{00000000-0005-0000-0000-0000AF090000}"/>
    <cellStyle name="見積-桁区切り_原価計画書(R-T社開発)_ソフトSS概算見積_030620_ソフトSS概算見積_030627" xfId="2451" xr:uid="{00000000-0005-0000-0000-0000B0090000}"/>
    <cellStyle name="見積桁区切り_原価計画書(R-T社開発)_ソフトSS概算見積_030620_ソフトSS概算見積_030627_＜3産2＞見積条件040127" xfId="2452" xr:uid="{00000000-0005-0000-0000-0000B1090000}"/>
    <cellStyle name="見積-桁区切り_原価計画書(R-T社開発)_ソフトSS概算見積_030620_ソフトSS概算見積_030627_＜3産2＞見積条件040127" xfId="2453" xr:uid="{00000000-0005-0000-0000-0000B2090000}"/>
    <cellStyle name="見積桁区切り_原価計画書(R-T社開発)_ソフトSS概算見積_030620_ソフトSS概算見積_030627_1" xfId="2454" xr:uid="{00000000-0005-0000-0000-0000B3090000}"/>
    <cellStyle name="見積-桁区切り_原価計画書(R-T社開発)_ソフトSS概算見積_030620_ソフトSS概算見積_030627_1" xfId="2455" xr:uid="{00000000-0005-0000-0000-0000B4090000}"/>
    <cellStyle name="見積桁区切り_原価計画書(R-T社開発)_ソフトSS概算見積_030620_ソフトSS概算見積_030627_JITEC見積_03.10.1" xfId="2456" xr:uid="{00000000-0005-0000-0000-0000B5090000}"/>
    <cellStyle name="見積-桁区切り_原価計画書(R-T社開発)_ソフトSS概算見積_030620_ソフトSS概算見積_030627_JITEC見積_03.10.1" xfId="2457" xr:uid="{00000000-0005-0000-0000-0000B6090000}"/>
    <cellStyle name="見積桁区切り_原価計画書(R-T社開発)_ソフトSS概算見積_030620_ソフトSS概算見積_030627_JITEC見積_03.10.1_工数内訳" xfId="2458" xr:uid="{00000000-0005-0000-0000-0000B7090000}"/>
    <cellStyle name="見積-桁区切り_原価計画書(R-T社開発)_ソフトSS概算見積_030620_ソフトSS概算見積_030627_JITEC見積_03.10.1_工数内訳" xfId="2459" xr:uid="{00000000-0005-0000-0000-0000B8090000}"/>
    <cellStyle name="見積桁区切り_原価計画書(R-T社開発)_ソフトSS概算見積_030620_ソフトSS概算見積_030627_JITEC見積_03.9.28" xfId="2460" xr:uid="{00000000-0005-0000-0000-0000B9090000}"/>
    <cellStyle name="見積-桁区切り_原価計画書(R-T社開発)_ソフトSS概算見積_030620_ソフトSS概算見積_030627_JITEC見積_03.9.28" xfId="2461" xr:uid="{00000000-0005-0000-0000-0000BA090000}"/>
    <cellStyle name="見積桁区切り_原価計画書(R-T社開発)_ソフトSS概算見積_030620_ソフトSS概算見積_030627_ソフトSS概算見積_030627" xfId="2462" xr:uid="{00000000-0005-0000-0000-0000BB090000}"/>
    <cellStyle name="見積-桁区切り_原価計画書(R-T社開発)_ソフトSS概算見積_030620_ソフトSS概算見積_030627_ソフトSS概算見積_030627" xfId="2463" xr:uid="{00000000-0005-0000-0000-0000BC090000}"/>
    <cellStyle name="見積桁区切り_原価計画書(R-T社開発)_ソフトSS概算見積_030620_ソフトSS概算見積_030627_開発見積" xfId="2464" xr:uid="{00000000-0005-0000-0000-0000BD090000}"/>
    <cellStyle name="見積-桁区切り_原価計画書(R-T社開発)_ソフトSS概算見積_030620_ソフトSS概算見積_030627_開発見積" xfId="2465" xr:uid="{00000000-0005-0000-0000-0000BE090000}"/>
    <cellStyle name="見積桁区切り_原価計画書(R-T社開発)_ソフトSS概算見積_030620_開発見積" xfId="2466" xr:uid="{00000000-0005-0000-0000-0000BF090000}"/>
    <cellStyle name="見積-桁区切り_原価計画書(R-T社開発)_ソフトSS概算見積_030620_開発見積" xfId="2467" xr:uid="{00000000-0005-0000-0000-0000C0090000}"/>
    <cellStyle name="見積桁区切り_原価計画書(R-T社開発)_ソフトSS概算見積_03062１営業修正" xfId="2468" xr:uid="{00000000-0005-0000-0000-0000C1090000}"/>
    <cellStyle name="見積-桁区切り_原価計画書(R-T社開発)_ソフトSS概算見積_03062１営業修正" xfId="2469" xr:uid="{00000000-0005-0000-0000-0000C2090000}"/>
    <cellStyle name="見積桁区切り_原価計画書(R-T社開発)_ソフトSS概算見積_03062１営業修正_＜3産2＞見積条件040127" xfId="2470" xr:uid="{00000000-0005-0000-0000-0000C3090000}"/>
    <cellStyle name="見積-桁区切り_原価計画書(R-T社開発)_ソフトSS概算見積_03062１営業修正_＜3産2＞見積条件040127" xfId="2471" xr:uid="{00000000-0005-0000-0000-0000C4090000}"/>
    <cellStyle name="見積桁区切り_原価計画書(R-T社開発)_ソフトSS概算見積_03062１営業修正_JITEC見積_03.10.1" xfId="2472" xr:uid="{00000000-0005-0000-0000-0000C5090000}"/>
    <cellStyle name="見積-桁区切り_原価計画書(R-T社開発)_ソフトSS概算見積_03062１営業修正_JITEC見積_03.10.1" xfId="2473" xr:uid="{00000000-0005-0000-0000-0000C6090000}"/>
    <cellStyle name="見積桁区切り_原価計画書(R-T社開発)_ソフトSS概算見積_03062１営業修正_JITEC見積_03.10.1_工数内訳" xfId="2474" xr:uid="{00000000-0005-0000-0000-0000C7090000}"/>
    <cellStyle name="見積-桁区切り_原価計画書(R-T社開発)_ソフトSS概算見積_03062１営業修正_JITEC見積_03.10.1_工数内訳" xfId="2475" xr:uid="{00000000-0005-0000-0000-0000C8090000}"/>
    <cellStyle name="見積桁区切り_原価計画書(R-T社開発)_ソフトSS概算見積_03062１営業修正_JITEC見積_03.9.28" xfId="2476" xr:uid="{00000000-0005-0000-0000-0000C9090000}"/>
    <cellStyle name="見積-桁区切り_原価計画書(R-T社開発)_ソフトSS概算見積_03062１営業修正_JITEC見積_03.9.28" xfId="2477" xr:uid="{00000000-0005-0000-0000-0000CA090000}"/>
    <cellStyle name="見積桁区切り_原価計画書(R-T社開発)_ソフトSS概算見積_03062１営業修正_ソフトSS概算見" xfId="2478" xr:uid="{00000000-0005-0000-0000-0000CB090000}"/>
    <cellStyle name="見積-桁区切り_原価計画書(R-T社開発)_ソフトSS概算見積_03062１営業修正_ソフトSS概算見" xfId="2479" xr:uid="{00000000-0005-0000-0000-0000CC090000}"/>
    <cellStyle name="見積桁区切り_原価計画書(R-T社開発)_ソフトSS概算見積_03062１営業修正_ソフトSS概算見_＜3産2＞見積条件040127" xfId="2480" xr:uid="{00000000-0005-0000-0000-0000CD090000}"/>
    <cellStyle name="見積-桁区切り_原価計画書(R-T社開発)_ソフトSS概算見積_03062１営業修正_ソフトSS概算見_＜3産2＞見積条件040127" xfId="2481" xr:uid="{00000000-0005-0000-0000-0000CE090000}"/>
    <cellStyle name="見積桁区切り_原価計画書(R-T社開発)_ソフトSS概算見積_03062１営業修正_ソフトSS概算見_JITEC見積_03.10.1" xfId="2482" xr:uid="{00000000-0005-0000-0000-0000CF090000}"/>
    <cellStyle name="見積-桁区切り_原価計画書(R-T社開発)_ソフトSS概算見積_03062１営業修正_ソフトSS概算見_JITEC見積_03.10.1" xfId="2483" xr:uid="{00000000-0005-0000-0000-0000D0090000}"/>
    <cellStyle name="見積桁区切り_原価計画書(R-T社開発)_ソフトSS概算見積_03062１営業修正_ソフトSS概算見_JITEC見積_03.10.1_工数内訳" xfId="2484" xr:uid="{00000000-0005-0000-0000-0000D1090000}"/>
    <cellStyle name="見積-桁区切り_原価計画書(R-T社開発)_ソフトSS概算見積_03062１営業修正_ソフトSS概算見_JITEC見積_03.10.1_工数内訳" xfId="2485" xr:uid="{00000000-0005-0000-0000-0000D2090000}"/>
    <cellStyle name="見積桁区切り_原価計画書(R-T社開発)_ソフトSS概算見積_03062１営業修正_ソフトSS概算見_JITEC見積_03.9.28" xfId="2486" xr:uid="{00000000-0005-0000-0000-0000D3090000}"/>
    <cellStyle name="見積-桁区切り_原価計画書(R-T社開発)_ソフトSS概算見積_03062１営業修正_ソフトSS概算見_JITEC見積_03.9.28" xfId="2487" xr:uid="{00000000-0005-0000-0000-0000D4090000}"/>
    <cellStyle name="見積桁区切り_原価計画書(R-T社開発)_ソフトSS概算見積_03062１営業修正_ソフトSS概算見_開発見積" xfId="2488" xr:uid="{00000000-0005-0000-0000-0000D5090000}"/>
    <cellStyle name="見積-桁区切り_原価計画書(R-T社開発)_ソフトSS概算見積_03062１営業修正_ソフトSS概算見_開発見積" xfId="2489" xr:uid="{00000000-0005-0000-0000-0000D6090000}"/>
    <cellStyle name="見積桁区切り_原価計画書(R-T社開発)_ソフトSS概算見積_03062１営業修正_開発見積" xfId="2490" xr:uid="{00000000-0005-0000-0000-0000D7090000}"/>
    <cellStyle name="見積-桁区切り_原価計画書(R-T社開発)_ソフトSS概算見積_03062１営業修正_開発見積" xfId="2491" xr:uid="{00000000-0005-0000-0000-0000D8090000}"/>
    <cellStyle name="見積桁区切り_原価計画書(R-T社開発)_ソフトSS概算見積_030627" xfId="2492" xr:uid="{00000000-0005-0000-0000-0000D9090000}"/>
    <cellStyle name="見積-桁区切り_原価計画書(R-T社開発)_ソフトSS概算見積_030627" xfId="2493" xr:uid="{00000000-0005-0000-0000-0000DA090000}"/>
    <cellStyle name="見積桁区切り_原価計画書(R-T社開発)_開発見積" xfId="2494" xr:uid="{00000000-0005-0000-0000-0000DB090000}"/>
    <cellStyle name="見積-桁区切り_原価計画書(R-T社開発)_開発見積" xfId="2495" xr:uid="{00000000-0005-0000-0000-0000DC090000}"/>
    <cellStyle name="見積桁区切り_原価計画書(R-T社開発)_自治体向けｻｲﾄ構築機能整理表_Ver2" xfId="2496" xr:uid="{00000000-0005-0000-0000-0000DD090000}"/>
    <cellStyle name="見積-桁区切り_原価計画書(R-T社開発)_自治体向けｻｲﾄ構築機能整理表_Ver2" xfId="2497" xr:uid="{00000000-0005-0000-0000-0000DE090000}"/>
    <cellStyle name="見積桁区切り_原価計画書(R-T社開発)_要件定義" xfId="2498" xr:uid="{00000000-0005-0000-0000-0000DF090000}"/>
    <cellStyle name="見積-桁区切り_原価計画書(R-T社開発)_要件定義" xfId="2499" xr:uid="{00000000-0005-0000-0000-0000E0090000}"/>
    <cellStyle name="見積桁区切り_原価計画書(R-T社開発)_要件定義_＜3産2＞見積条件040127" xfId="2500" xr:uid="{00000000-0005-0000-0000-0000E1090000}"/>
    <cellStyle name="見積-桁区切り_原価計画書(R-T社開発)_要件定義_＜3産2＞見積条件040127" xfId="2501" xr:uid="{00000000-0005-0000-0000-0000E2090000}"/>
    <cellStyle name="見積桁区切り_原価計画書(R-T社開発)_要件定義_JITEC見積_03.10.1" xfId="2502" xr:uid="{00000000-0005-0000-0000-0000E3090000}"/>
    <cellStyle name="見積-桁区切り_原価計画書(R-T社開発)_要件定義_JITEC見積_03.10.1" xfId="2503" xr:uid="{00000000-0005-0000-0000-0000E4090000}"/>
    <cellStyle name="見積桁区切り_原価計画書(R-T社開発)_要件定義_JITEC見積_03.10.1_工数内訳" xfId="2504" xr:uid="{00000000-0005-0000-0000-0000E5090000}"/>
    <cellStyle name="見積-桁区切り_原価計画書(R-T社開発)_要件定義_JITEC見積_03.10.1_工数内訳" xfId="2505" xr:uid="{00000000-0005-0000-0000-0000E6090000}"/>
    <cellStyle name="見積桁区切り_原価計画書(R-T社開発)_要件定義_JITEC見積_03.9.28" xfId="2506" xr:uid="{00000000-0005-0000-0000-0000E7090000}"/>
    <cellStyle name="見積-桁区切り_原価計画書(R-T社開発)_要件定義_JITEC見積_03.9.28" xfId="2507" xr:uid="{00000000-0005-0000-0000-0000E8090000}"/>
    <cellStyle name="見積桁区切り_原価計画書(R-T社開発)_要件定義_ソフトSS概算見積_030620" xfId="2508" xr:uid="{00000000-0005-0000-0000-0000E9090000}"/>
    <cellStyle name="見積-桁区切り_原価計画書(R-T社開発)_要件定義_ソフトSS概算見積_030620" xfId="2509" xr:uid="{00000000-0005-0000-0000-0000EA090000}"/>
    <cellStyle name="見積桁区切り_原価計画書(R-T社開発)_要件定義_ソフトSS概算見積_030620_＜3産2＞見積条件040127" xfId="2510" xr:uid="{00000000-0005-0000-0000-0000EB090000}"/>
    <cellStyle name="見積-桁区切り_原価計画書(R-T社開発)_要件定義_ソフトSS概算見積_030620_＜3産2＞見積条件040127" xfId="2511" xr:uid="{00000000-0005-0000-0000-0000EC090000}"/>
    <cellStyle name="見積桁区切り_原価計画書(R-T社開発)_要件定義_ソフトSS概算見積_030620_1" xfId="2512" xr:uid="{00000000-0005-0000-0000-0000ED090000}"/>
    <cellStyle name="見積-桁区切り_原価計画書(R-T社開発)_要件定義_ソフトSS概算見積_030620_1" xfId="2513" xr:uid="{00000000-0005-0000-0000-0000EE090000}"/>
    <cellStyle name="見積桁区切り_原価計画書(R-T社開発)_要件定義_ソフトSS概算見積_030620_JITEC見積_03.10.1" xfId="2514" xr:uid="{00000000-0005-0000-0000-0000EF090000}"/>
    <cellStyle name="見積-桁区切り_原価計画書(R-T社開発)_要件定義_ソフトSS概算見積_030620_JITEC見積_03.10.1" xfId="2515" xr:uid="{00000000-0005-0000-0000-0000F0090000}"/>
    <cellStyle name="見積桁区切り_原価計画書(R-T社開発)_要件定義_ソフトSS概算見積_030620_JITEC見積_03.10.1_工数内訳" xfId="2516" xr:uid="{00000000-0005-0000-0000-0000F1090000}"/>
    <cellStyle name="見積-桁区切り_原価計画書(R-T社開発)_要件定義_ソフトSS概算見積_030620_JITEC見積_03.10.1_工数内訳" xfId="2517" xr:uid="{00000000-0005-0000-0000-0000F2090000}"/>
    <cellStyle name="見積桁区切り_原価計画書(R-T社開発)_要件定義_ソフトSS概算見積_030620_JITEC見積_03.9.28" xfId="2518" xr:uid="{00000000-0005-0000-0000-0000F3090000}"/>
    <cellStyle name="見積-桁区切り_原価計画書(R-T社開発)_要件定義_ソフトSS概算見積_030620_JITEC見積_03.9.28" xfId="2519" xr:uid="{00000000-0005-0000-0000-0000F4090000}"/>
    <cellStyle name="見積桁区切り_原価計画書(R-T社開発)_要件定義_ソフトSS概算見積_030620_ソフトSS概算見" xfId="2520" xr:uid="{00000000-0005-0000-0000-0000F5090000}"/>
    <cellStyle name="見積-桁区切り_原価計画書(R-T社開発)_要件定義_ソフトSS概算見積_030620_ソフトSS概算見" xfId="2521" xr:uid="{00000000-0005-0000-0000-0000F6090000}"/>
    <cellStyle name="見積桁区切り_原価計画書(R-T社開発)_要件定義_ソフトSS概算見積_030620_ソフトSS概算見_＜3産2＞見積条件040127" xfId="2522" xr:uid="{00000000-0005-0000-0000-0000F7090000}"/>
    <cellStyle name="見積-桁区切り_原価計画書(R-T社開発)_要件定義_ソフトSS概算見積_030620_ソフトSS概算見_＜3産2＞見積条件040127" xfId="2523" xr:uid="{00000000-0005-0000-0000-0000F8090000}"/>
    <cellStyle name="見積桁区切り_原価計画書(R-T社開発)_要件定義_ソフトSS概算見積_030620_ソフトSS概算見_JITEC見積_03.10.1" xfId="2524" xr:uid="{00000000-0005-0000-0000-0000F9090000}"/>
    <cellStyle name="見積-桁区切り_原価計画書(R-T社開発)_要件定義_ソフトSS概算見積_030620_ソフトSS概算見_JITEC見積_03.10.1" xfId="2525" xr:uid="{00000000-0005-0000-0000-0000FA090000}"/>
    <cellStyle name="見積桁区切り_原価計画書(R-T社開発)_要件定義_ソフトSS概算見積_030620_ソフトSS概算見_JITEC見積_03.10.1_工数内訳" xfId="2526" xr:uid="{00000000-0005-0000-0000-0000FB090000}"/>
    <cellStyle name="見積-桁区切り_原価計画書(R-T社開発)_要件定義_ソフトSS概算見積_030620_ソフトSS概算見_JITEC見積_03.10.1_工数内訳" xfId="2527" xr:uid="{00000000-0005-0000-0000-0000FC090000}"/>
    <cellStyle name="見積桁区切り_原価計画書(R-T社開発)_要件定義_ソフトSS概算見積_030620_ソフトSS概算見_JITEC見積_03.9.28" xfId="2528" xr:uid="{00000000-0005-0000-0000-0000FD090000}"/>
    <cellStyle name="見積-桁区切り_原価計画書(R-T社開発)_要件定義_ソフトSS概算見積_030620_ソフトSS概算見_JITEC見積_03.9.28" xfId="2529" xr:uid="{00000000-0005-0000-0000-0000FE090000}"/>
    <cellStyle name="見積桁区切り_原価計画書(R-T社開発)_要件定義_ソフトSS概算見積_030620_ソフトSS概算見_開発見積" xfId="2530" xr:uid="{00000000-0005-0000-0000-0000FF090000}"/>
    <cellStyle name="見積-桁区切り_原価計画書(R-T社開発)_要件定義_ソフトSS概算見積_030620_ソフトSS概算見_開発見積" xfId="2531" xr:uid="{00000000-0005-0000-0000-0000000A0000}"/>
    <cellStyle name="見積桁区切り_原価計画書(R-T社開発)_要件定義_ソフトSS概算見積_030620_ソフトSS概算見積_030620" xfId="2532" xr:uid="{00000000-0005-0000-0000-0000010A0000}"/>
    <cellStyle name="見積-桁区切り_原価計画書(R-T社開発)_要件定義_ソフトSS概算見積_030620_ソフトSS概算見積_030620" xfId="2533" xr:uid="{00000000-0005-0000-0000-0000020A0000}"/>
    <cellStyle name="見積桁区切り_原価計画書(R-T社開発)_要件定義_ソフトSS概算見積_030620_ソフトSS概算見積_030627" xfId="2534" xr:uid="{00000000-0005-0000-0000-0000030A0000}"/>
    <cellStyle name="見積-桁区切り_原価計画書(R-T社開発)_要件定義_ソフトSS概算見積_030620_ソフトSS概算見積_030627" xfId="2535" xr:uid="{00000000-0005-0000-0000-0000040A0000}"/>
    <cellStyle name="見積桁区切り_原価計画書(R-T社開発)_要件定義_ソフトSS概算見積_030620_ソフトSS概算見積_030627_＜3産2＞見積条件040127" xfId="2536" xr:uid="{00000000-0005-0000-0000-0000050A0000}"/>
    <cellStyle name="見積-桁区切り_原価計画書(R-T社開発)_要件定義_ソフトSS概算見積_030620_ソフトSS概算見積_030627_＜3産2＞見積条件040127" xfId="2537" xr:uid="{00000000-0005-0000-0000-0000060A0000}"/>
    <cellStyle name="見積桁区切り_原価計画書(R-T社開発)_要件定義_ソフトSS概算見積_030620_ソフトSS概算見積_030627_1" xfId="2538" xr:uid="{00000000-0005-0000-0000-0000070A0000}"/>
    <cellStyle name="見積-桁区切り_原価計画書(R-T社開発)_要件定義_ソフトSS概算見積_030620_ソフトSS概算見積_030627_1" xfId="2539" xr:uid="{00000000-0005-0000-0000-0000080A0000}"/>
    <cellStyle name="見積桁区切り_原価計画書(R-T社開発)_要件定義_ソフトSS概算見積_030620_ソフトSS概算見積_030627_JITEC見積_03.10.1" xfId="2540" xr:uid="{00000000-0005-0000-0000-0000090A0000}"/>
    <cellStyle name="見積-桁区切り_原価計画書(R-T社開発)_要件定義_ソフトSS概算見積_030620_ソフトSS概算見積_030627_JITEC見積_03.10.1" xfId="2541" xr:uid="{00000000-0005-0000-0000-00000A0A0000}"/>
    <cellStyle name="見積桁区切り_原価計画書(R-T社開発)_要件定義_ソフトSS概算見積_030620_ソフトSS概算見積_030627_JITEC見積_03.10.1_工数内訳" xfId="2542" xr:uid="{00000000-0005-0000-0000-00000B0A0000}"/>
    <cellStyle name="見積-桁区切り_原価計画書(R-T社開発)_要件定義_ソフトSS概算見積_030620_ソフトSS概算見積_030627_JITEC見積_03.10.1_工数内訳" xfId="2543" xr:uid="{00000000-0005-0000-0000-00000C0A0000}"/>
    <cellStyle name="見積桁区切り_原価計画書(R-T社開発)_要件定義_ソフトSS概算見積_030620_ソフトSS概算見積_030627_JITEC見積_03.9.28" xfId="2544" xr:uid="{00000000-0005-0000-0000-00000D0A0000}"/>
    <cellStyle name="見積-桁区切り_原価計画書(R-T社開発)_要件定義_ソフトSS概算見積_030620_ソフトSS概算見積_030627_JITEC見積_03.9.28" xfId="2545" xr:uid="{00000000-0005-0000-0000-00000E0A0000}"/>
    <cellStyle name="見積桁区切り_原価計画書(R-T社開発)_要件定義_ソフトSS概算見積_030620_ソフトSS概算見積_030627_ソフトSS概算見積_030627" xfId="2546" xr:uid="{00000000-0005-0000-0000-00000F0A0000}"/>
    <cellStyle name="見積-桁区切り_原価計画書(R-T社開発)_要件定義_ソフトSS概算見積_030620_ソフトSS概算見積_030627_ソフトSS概算見積_030627" xfId="2547" xr:uid="{00000000-0005-0000-0000-0000100A0000}"/>
    <cellStyle name="見積桁区切り_原価計画書(R-T社開発)_要件定義_ソフトSS概算見積_030620_ソフトSS概算見積_030627_開発見積" xfId="2548" xr:uid="{00000000-0005-0000-0000-0000110A0000}"/>
    <cellStyle name="見積-桁区切り_原価計画書(R-T社開発)_要件定義_ソフトSS概算見積_030620_ソフトSS概算見積_030627_開発見積" xfId="2549" xr:uid="{00000000-0005-0000-0000-0000120A0000}"/>
    <cellStyle name="見積桁区切り_原価計画書(R-T社開発)_要件定義_ソフトSS概算見積_030620_開発見積" xfId="2550" xr:uid="{00000000-0005-0000-0000-0000130A0000}"/>
    <cellStyle name="見積-桁区切り_原価計画書(R-T社開発)_要件定義_ソフトSS概算見積_030620_開発見積" xfId="2551" xr:uid="{00000000-0005-0000-0000-0000140A0000}"/>
    <cellStyle name="見積桁区切り_原価計画書(R-T社開発)_要件定義_ソフトSS概算見積_03062１営業修正" xfId="2552" xr:uid="{00000000-0005-0000-0000-0000150A0000}"/>
    <cellStyle name="見積-桁区切り_原価計画書(R-T社開発)_要件定義_ソフトSS概算見積_03062１営業修正" xfId="2553" xr:uid="{00000000-0005-0000-0000-0000160A0000}"/>
    <cellStyle name="見積桁区切り_原価計画書(R-T社開発)_要件定義_ソフトSS概算見積_03062１営業修正_＜3産2＞見積条件040127" xfId="2554" xr:uid="{00000000-0005-0000-0000-0000170A0000}"/>
    <cellStyle name="見積-桁区切り_原価計画書(R-T社開発)_要件定義_ソフトSS概算見積_03062１営業修正_＜3産2＞見積条件040127" xfId="2555" xr:uid="{00000000-0005-0000-0000-0000180A0000}"/>
    <cellStyle name="見積桁区切り_原価計画書(R-T社開発)_要件定義_ソフトSS概算見積_03062１営業修正_JITEC見積_03.10.1" xfId="2556" xr:uid="{00000000-0005-0000-0000-0000190A0000}"/>
    <cellStyle name="見積-桁区切り_原価計画書(R-T社開発)_要件定義_ソフトSS概算見積_03062１営業修正_JITEC見積_03.10.1" xfId="2557" xr:uid="{00000000-0005-0000-0000-00001A0A0000}"/>
    <cellStyle name="見積桁区切り_原価計画書(R-T社開発)_要件定義_ソフトSS概算見積_03062１営業修正_JITEC見積_03.10.1_工数内訳" xfId="2558" xr:uid="{00000000-0005-0000-0000-00001B0A0000}"/>
    <cellStyle name="見積-桁区切り_原価計画書(R-T社開発)_要件定義_ソフトSS概算見積_03062１営業修正_JITEC見積_03.10.1_工数内訳" xfId="2559" xr:uid="{00000000-0005-0000-0000-00001C0A0000}"/>
    <cellStyle name="見積桁区切り_原価計画書(R-T社開発)_要件定義_ソフトSS概算見積_03062１営業修正_JITEC見積_03.9.28" xfId="2560" xr:uid="{00000000-0005-0000-0000-00001D0A0000}"/>
    <cellStyle name="見積-桁区切り_原価計画書(R-T社開発)_要件定義_ソフトSS概算見積_03062１営業修正_JITEC見積_03.9.28" xfId="2561" xr:uid="{00000000-0005-0000-0000-00001E0A0000}"/>
    <cellStyle name="見積桁区切り_原価計画書(R-T社開発)_要件定義_ソフトSS概算見積_03062１営業修正_ソフトSS概算見" xfId="2562" xr:uid="{00000000-0005-0000-0000-00001F0A0000}"/>
    <cellStyle name="見積-桁区切り_原価計画書(R-T社開発)_要件定義_ソフトSS概算見積_03062１営業修正_ソフトSS概算見" xfId="2563" xr:uid="{00000000-0005-0000-0000-0000200A0000}"/>
    <cellStyle name="見積桁区切り_原価計画書(R-T社開発)_要件定義_ソフトSS概算見積_03062１営業修正_ソフトSS概算見_＜3産2＞見積条件040127" xfId="2564" xr:uid="{00000000-0005-0000-0000-0000210A0000}"/>
    <cellStyle name="見積-桁区切り_原価計画書(R-T社開発)_要件定義_ソフトSS概算見積_03062１営業修正_ソフトSS概算見_＜3産2＞見積条件040127" xfId="2565" xr:uid="{00000000-0005-0000-0000-0000220A0000}"/>
    <cellStyle name="見積桁区切り_原価計画書(R-T社開発)_要件定義_ソフトSS概算見積_03062１営業修正_ソフトSS概算見_JITEC見積_03.10.1" xfId="2566" xr:uid="{00000000-0005-0000-0000-0000230A0000}"/>
    <cellStyle name="見積-桁区切り_原価計画書(R-T社開発)_要件定義_ソフトSS概算見積_03062１営業修正_ソフトSS概算見_JITEC見積_03.10.1" xfId="2567" xr:uid="{00000000-0005-0000-0000-0000240A0000}"/>
    <cellStyle name="見積桁区切り_原価計画書(R-T社開発)_要件定義_ソフトSS概算見積_03062１営業修正_ソフトSS概算見_JITEC見積_03.10.1_工数内訳" xfId="2568" xr:uid="{00000000-0005-0000-0000-0000250A0000}"/>
    <cellStyle name="見積-桁区切り_原価計画書(R-T社開発)_要件定義_ソフトSS概算見積_03062１営業修正_ソフトSS概算見_JITEC見積_03.10.1_工数内訳" xfId="2569" xr:uid="{00000000-0005-0000-0000-0000260A0000}"/>
    <cellStyle name="見積桁区切り_原価計画書(R-T社開発)_要件定義_ソフトSS概算見積_03062１営業修正_ソフトSS概算見_JITEC見積_03.9.28" xfId="2570" xr:uid="{00000000-0005-0000-0000-0000270A0000}"/>
    <cellStyle name="見積-桁区切り_原価計画書(R-T社開発)_要件定義_ソフトSS概算見積_03062１営業修正_ソフトSS概算見_JITEC見積_03.9.28" xfId="2571" xr:uid="{00000000-0005-0000-0000-0000280A0000}"/>
    <cellStyle name="見積桁区切り_原価計画書(R-T社開発)_要件定義_ソフトSS概算見積_03062１営業修正_ソフトSS概算見_開発見積" xfId="2572" xr:uid="{00000000-0005-0000-0000-0000290A0000}"/>
    <cellStyle name="見積-桁区切り_原価計画書(R-T社開発)_要件定義_ソフトSS概算見積_03062１営業修正_ソフトSS概算見_開発見積" xfId="2573" xr:uid="{00000000-0005-0000-0000-00002A0A0000}"/>
    <cellStyle name="見積桁区切り_原価計画書(R-T社開発)_要件定義_ソフトSS概算見積_03062１営業修正_開発見積" xfId="2574" xr:uid="{00000000-0005-0000-0000-00002B0A0000}"/>
    <cellStyle name="見積-桁区切り_原価計画書(R-T社開発)_要件定義_ソフトSS概算見積_03062１営業修正_開発見積" xfId="2575" xr:uid="{00000000-0005-0000-0000-00002C0A0000}"/>
    <cellStyle name="見積桁区切り_原価計画書(R-T社開発)_要件定義_ソフトSS概算見積_030627" xfId="2576" xr:uid="{00000000-0005-0000-0000-00002D0A0000}"/>
    <cellStyle name="見積-桁区切り_原価計画書(R-T社開発)_要件定義_ソフトSS概算見積_030627" xfId="2577" xr:uid="{00000000-0005-0000-0000-00002E0A0000}"/>
    <cellStyle name="見積桁区切り_原価計画書(R-T社開発)_要件定義_開発見積" xfId="2578" xr:uid="{00000000-0005-0000-0000-00002F0A0000}"/>
    <cellStyle name="見積-桁区切り_原価計画書(R-T社開発)_要件定義_開発見積" xfId="2579" xr:uid="{00000000-0005-0000-0000-0000300A0000}"/>
    <cellStyle name="見積桁区切り_提示構成" xfId="2580" xr:uid="{00000000-0005-0000-0000-0000310A0000}"/>
    <cellStyle name="見積-桁区切り_提示構成" xfId="2581" xr:uid="{00000000-0005-0000-0000-0000320A0000}"/>
    <cellStyle name="見積桁区切り_費用" xfId="2582" xr:uid="{00000000-0005-0000-0000-0000330A0000}"/>
    <cellStyle name="見積-桁区切り_費用" xfId="2583" xr:uid="{00000000-0005-0000-0000-0000340A0000}"/>
    <cellStyle name="見積桁区切り_要件定義" xfId="2584" xr:uid="{00000000-0005-0000-0000-0000350A0000}"/>
    <cellStyle name="見積-桁区切り_要件定義" xfId="2585" xr:uid="{00000000-0005-0000-0000-0000360A0000}"/>
    <cellStyle name="見積桁区切り_要件定義_＜3産2＞見積条件040127" xfId="2586" xr:uid="{00000000-0005-0000-0000-0000370A0000}"/>
    <cellStyle name="見積-桁区切り_要件定義_＜3産2＞見積条件040127" xfId="2587" xr:uid="{00000000-0005-0000-0000-0000380A0000}"/>
    <cellStyle name="見積桁区切り_要件定義_JITEC見積_03.10.1" xfId="2588" xr:uid="{00000000-0005-0000-0000-0000390A0000}"/>
    <cellStyle name="見積-桁区切り_要件定義_JITEC見積_03.10.1" xfId="2589" xr:uid="{00000000-0005-0000-0000-00003A0A0000}"/>
    <cellStyle name="見積桁区切り_要件定義_JITEC見積_03.10.1_工数内訳" xfId="2590" xr:uid="{00000000-0005-0000-0000-00003B0A0000}"/>
    <cellStyle name="見積-桁区切り_要件定義_JITEC見積_03.10.1_工数内訳" xfId="2591" xr:uid="{00000000-0005-0000-0000-00003C0A0000}"/>
    <cellStyle name="見積桁区切り_要件定義_JITEC見積_03.9.28" xfId="2592" xr:uid="{00000000-0005-0000-0000-00003D0A0000}"/>
    <cellStyle name="見積-桁区切り_要件定義_JITEC見積_03.9.28" xfId="2593" xr:uid="{00000000-0005-0000-0000-00003E0A0000}"/>
    <cellStyle name="見積桁区切り_要件定義_ソフトSS概算見積_030620" xfId="2594" xr:uid="{00000000-0005-0000-0000-00003F0A0000}"/>
    <cellStyle name="見積-桁区切り_要件定義_ソフトSS概算見積_030620" xfId="2595" xr:uid="{00000000-0005-0000-0000-0000400A0000}"/>
    <cellStyle name="見積桁区切り_要件定義_ソフトSS概算見積_030620_＜3産2＞見積条件040127" xfId="2596" xr:uid="{00000000-0005-0000-0000-0000410A0000}"/>
    <cellStyle name="見積-桁区切り_要件定義_ソフトSS概算見積_030620_＜3産2＞見積条件040127" xfId="2597" xr:uid="{00000000-0005-0000-0000-0000420A0000}"/>
    <cellStyle name="見積桁区切り_要件定義_ソフトSS概算見積_030620_1" xfId="2598" xr:uid="{00000000-0005-0000-0000-0000430A0000}"/>
    <cellStyle name="見積-桁区切り_要件定義_ソフトSS概算見積_030620_1" xfId="2599" xr:uid="{00000000-0005-0000-0000-0000440A0000}"/>
    <cellStyle name="見積桁区切り_要件定義_ソフトSS概算見積_030620_JITEC見積_03.10.1" xfId="2600" xr:uid="{00000000-0005-0000-0000-0000450A0000}"/>
    <cellStyle name="見積-桁区切り_要件定義_ソフトSS概算見積_030620_JITEC見積_03.10.1" xfId="2601" xr:uid="{00000000-0005-0000-0000-0000460A0000}"/>
    <cellStyle name="見積桁区切り_要件定義_ソフトSS概算見積_030620_JITEC見積_03.10.1_工数内訳" xfId="2602" xr:uid="{00000000-0005-0000-0000-0000470A0000}"/>
    <cellStyle name="見積-桁区切り_要件定義_ソフトSS概算見積_030620_JITEC見積_03.10.1_工数内訳" xfId="2603" xr:uid="{00000000-0005-0000-0000-0000480A0000}"/>
    <cellStyle name="見積桁区切り_要件定義_ソフトSS概算見積_030620_JITEC見積_03.9.28" xfId="2604" xr:uid="{00000000-0005-0000-0000-0000490A0000}"/>
    <cellStyle name="見積-桁区切り_要件定義_ソフトSS概算見積_030620_JITEC見積_03.9.28" xfId="2605" xr:uid="{00000000-0005-0000-0000-00004A0A0000}"/>
    <cellStyle name="見積桁区切り_要件定義_ソフトSS概算見積_030620_ソフトSS概算見" xfId="2606" xr:uid="{00000000-0005-0000-0000-00004B0A0000}"/>
    <cellStyle name="見積-桁区切り_要件定義_ソフトSS概算見積_030620_ソフトSS概算見" xfId="2607" xr:uid="{00000000-0005-0000-0000-00004C0A0000}"/>
    <cellStyle name="見積桁区切り_要件定義_ソフトSS概算見積_030620_ソフトSS概算見_＜3産2＞見積条件040127" xfId="2608" xr:uid="{00000000-0005-0000-0000-00004D0A0000}"/>
    <cellStyle name="見積-桁区切り_要件定義_ソフトSS概算見積_030620_ソフトSS概算見_＜3産2＞見積条件040127" xfId="2609" xr:uid="{00000000-0005-0000-0000-00004E0A0000}"/>
    <cellStyle name="見積桁区切り_要件定義_ソフトSS概算見積_030620_ソフトSS概算見_JITEC見積_03.10.1" xfId="2610" xr:uid="{00000000-0005-0000-0000-00004F0A0000}"/>
    <cellStyle name="見積-桁区切り_要件定義_ソフトSS概算見積_030620_ソフトSS概算見_JITEC見積_03.10.1" xfId="2611" xr:uid="{00000000-0005-0000-0000-0000500A0000}"/>
    <cellStyle name="見積桁区切り_要件定義_ソフトSS概算見積_030620_ソフトSS概算見_JITEC見積_03.10.1_工数内訳" xfId="2612" xr:uid="{00000000-0005-0000-0000-0000510A0000}"/>
    <cellStyle name="見積-桁区切り_要件定義_ソフトSS概算見積_030620_ソフトSS概算見_JITEC見積_03.10.1_工数内訳" xfId="2613" xr:uid="{00000000-0005-0000-0000-0000520A0000}"/>
    <cellStyle name="見積桁区切り_要件定義_ソフトSS概算見積_030620_ソフトSS概算見_JITEC見積_03.9.28" xfId="2614" xr:uid="{00000000-0005-0000-0000-0000530A0000}"/>
    <cellStyle name="見積-桁区切り_要件定義_ソフトSS概算見積_030620_ソフトSS概算見_JITEC見積_03.9.28" xfId="2615" xr:uid="{00000000-0005-0000-0000-0000540A0000}"/>
    <cellStyle name="見積桁区切り_要件定義_ソフトSS概算見積_030620_ソフトSS概算見_開発見積" xfId="2616" xr:uid="{00000000-0005-0000-0000-0000550A0000}"/>
    <cellStyle name="見積-桁区切り_要件定義_ソフトSS概算見積_030620_ソフトSS概算見_開発見積" xfId="2617" xr:uid="{00000000-0005-0000-0000-0000560A0000}"/>
    <cellStyle name="見積桁区切り_要件定義_ソフトSS概算見積_030620_ソフトSS概算見積_030620" xfId="2618" xr:uid="{00000000-0005-0000-0000-0000570A0000}"/>
    <cellStyle name="見積-桁区切り_要件定義_ソフトSS概算見積_030620_ソフトSS概算見積_030620" xfId="2619" xr:uid="{00000000-0005-0000-0000-0000580A0000}"/>
    <cellStyle name="見積桁区切り_要件定義_ソフトSS概算見積_030620_ソフトSS概算見積_030627" xfId="2620" xr:uid="{00000000-0005-0000-0000-0000590A0000}"/>
    <cellStyle name="見積-桁区切り_要件定義_ソフトSS概算見積_030620_ソフトSS概算見積_030627" xfId="2621" xr:uid="{00000000-0005-0000-0000-00005A0A0000}"/>
    <cellStyle name="見積桁区切り_要件定義_ソフトSS概算見積_030620_ソフトSS概算見積_030627_＜3産2＞見積条件040127" xfId="2622" xr:uid="{00000000-0005-0000-0000-00005B0A0000}"/>
    <cellStyle name="見積-桁区切り_要件定義_ソフトSS概算見積_030620_ソフトSS概算見積_030627_＜3産2＞見積条件040127" xfId="2623" xr:uid="{00000000-0005-0000-0000-00005C0A0000}"/>
    <cellStyle name="見積桁区切り_要件定義_ソフトSS概算見積_030620_ソフトSS概算見積_030627_1" xfId="2624" xr:uid="{00000000-0005-0000-0000-00005D0A0000}"/>
    <cellStyle name="見積-桁区切り_要件定義_ソフトSS概算見積_030620_ソフトSS概算見積_030627_1" xfId="2625" xr:uid="{00000000-0005-0000-0000-00005E0A0000}"/>
    <cellStyle name="見積桁区切り_要件定義_ソフトSS概算見積_030620_ソフトSS概算見積_030627_JITEC見積_03.10.1" xfId="2626" xr:uid="{00000000-0005-0000-0000-00005F0A0000}"/>
    <cellStyle name="見積-桁区切り_要件定義_ソフトSS概算見積_030620_ソフトSS概算見積_030627_JITEC見積_03.10.1" xfId="2627" xr:uid="{00000000-0005-0000-0000-0000600A0000}"/>
    <cellStyle name="見積桁区切り_要件定義_ソフトSS概算見積_030620_ソフトSS概算見積_030627_JITEC見積_03.10.1_工数内訳" xfId="2628" xr:uid="{00000000-0005-0000-0000-0000610A0000}"/>
    <cellStyle name="見積-桁区切り_要件定義_ソフトSS概算見積_030620_ソフトSS概算見積_030627_JITEC見積_03.10.1_工数内訳" xfId="2629" xr:uid="{00000000-0005-0000-0000-0000620A0000}"/>
    <cellStyle name="見積桁区切り_要件定義_ソフトSS概算見積_030620_ソフトSS概算見積_030627_JITEC見積_03.9.28" xfId="2630" xr:uid="{00000000-0005-0000-0000-0000630A0000}"/>
    <cellStyle name="見積-桁区切り_要件定義_ソフトSS概算見積_030620_ソフトSS概算見積_030627_JITEC見積_03.9.28" xfId="2631" xr:uid="{00000000-0005-0000-0000-0000640A0000}"/>
    <cellStyle name="見積桁区切り_要件定義_ソフトSS概算見積_030620_ソフトSS概算見積_030627_ソフトSS概算見積_030627" xfId="2632" xr:uid="{00000000-0005-0000-0000-0000650A0000}"/>
    <cellStyle name="見積-桁区切り_要件定義_ソフトSS概算見積_030620_ソフトSS概算見積_030627_ソフトSS概算見積_030627" xfId="2633" xr:uid="{00000000-0005-0000-0000-0000660A0000}"/>
    <cellStyle name="見積桁区切り_要件定義_ソフトSS概算見積_030620_ソフトSS概算見積_030627_開発見積" xfId="2634" xr:uid="{00000000-0005-0000-0000-0000670A0000}"/>
    <cellStyle name="見積-桁区切り_要件定義_ソフトSS概算見積_030620_ソフトSS概算見積_030627_開発見積" xfId="2635" xr:uid="{00000000-0005-0000-0000-0000680A0000}"/>
    <cellStyle name="見積桁区切り_要件定義_ソフトSS概算見積_030620_開発見積" xfId="2636" xr:uid="{00000000-0005-0000-0000-0000690A0000}"/>
    <cellStyle name="見積-桁区切り_要件定義_ソフトSS概算見積_030620_開発見積" xfId="2637" xr:uid="{00000000-0005-0000-0000-00006A0A0000}"/>
    <cellStyle name="見積桁区切り_要件定義_ソフトSS概算見積_03062１営業修正" xfId="2638" xr:uid="{00000000-0005-0000-0000-00006B0A0000}"/>
    <cellStyle name="見積-桁区切り_要件定義_ソフトSS概算見積_03062１営業修正" xfId="2639" xr:uid="{00000000-0005-0000-0000-00006C0A0000}"/>
    <cellStyle name="見積桁区切り_要件定義_ソフトSS概算見積_03062１営業修正_＜3産2＞見積条件040127" xfId="2640" xr:uid="{00000000-0005-0000-0000-00006D0A0000}"/>
    <cellStyle name="見積-桁区切り_要件定義_ソフトSS概算見積_03062１営業修正_＜3産2＞見積条件040127" xfId="2641" xr:uid="{00000000-0005-0000-0000-00006E0A0000}"/>
    <cellStyle name="見積桁区切り_要件定義_ソフトSS概算見積_03062１営業修正_JITEC見積_03.10.1" xfId="2642" xr:uid="{00000000-0005-0000-0000-00006F0A0000}"/>
    <cellStyle name="見積-桁区切り_要件定義_ソフトSS概算見積_03062１営業修正_JITEC見積_03.10.1" xfId="2643" xr:uid="{00000000-0005-0000-0000-0000700A0000}"/>
    <cellStyle name="見積桁区切り_要件定義_ソフトSS概算見積_03062１営業修正_JITEC見積_03.10.1_工数内訳" xfId="2644" xr:uid="{00000000-0005-0000-0000-0000710A0000}"/>
    <cellStyle name="見積-桁区切り_要件定義_ソフトSS概算見積_03062１営業修正_JITEC見積_03.10.1_工数内訳" xfId="2645" xr:uid="{00000000-0005-0000-0000-0000720A0000}"/>
    <cellStyle name="見積桁区切り_要件定義_ソフトSS概算見積_03062１営業修正_JITEC見積_03.9.28" xfId="2646" xr:uid="{00000000-0005-0000-0000-0000730A0000}"/>
    <cellStyle name="見積-桁区切り_要件定義_ソフトSS概算見積_03062１営業修正_JITEC見積_03.9.28" xfId="2647" xr:uid="{00000000-0005-0000-0000-0000740A0000}"/>
    <cellStyle name="見積桁区切り_要件定義_ソフトSS概算見積_03062１営業修正_ソフトSS概算見" xfId="2648" xr:uid="{00000000-0005-0000-0000-0000750A0000}"/>
    <cellStyle name="見積-桁区切り_要件定義_ソフトSS概算見積_03062１営業修正_ソフトSS概算見" xfId="2649" xr:uid="{00000000-0005-0000-0000-0000760A0000}"/>
    <cellStyle name="見積桁区切り_要件定義_ソフトSS概算見積_03062１営業修正_ソフトSS概算見_＜3産2＞見積条件040127" xfId="2650" xr:uid="{00000000-0005-0000-0000-0000770A0000}"/>
    <cellStyle name="見積-桁区切り_要件定義_ソフトSS概算見積_03062１営業修正_ソフトSS概算見_＜3産2＞見積条件040127" xfId="2651" xr:uid="{00000000-0005-0000-0000-0000780A0000}"/>
    <cellStyle name="見積桁区切り_要件定義_ソフトSS概算見積_03062１営業修正_ソフトSS概算見_JITEC見積_03.10.1" xfId="2652" xr:uid="{00000000-0005-0000-0000-0000790A0000}"/>
    <cellStyle name="見積-桁区切り_要件定義_ソフトSS概算見積_03062１営業修正_ソフトSS概算見_JITEC見積_03.10.1" xfId="2653" xr:uid="{00000000-0005-0000-0000-00007A0A0000}"/>
    <cellStyle name="見積桁区切り_要件定義_ソフトSS概算見積_03062１営業修正_ソフトSS概算見_JITEC見積_03.10.1_工数内訳" xfId="2654" xr:uid="{00000000-0005-0000-0000-00007B0A0000}"/>
    <cellStyle name="見積-桁区切り_要件定義_ソフトSS概算見積_03062１営業修正_ソフトSS概算見_JITEC見積_03.10.1_工数内訳" xfId="2655" xr:uid="{00000000-0005-0000-0000-00007C0A0000}"/>
    <cellStyle name="見積桁区切り_要件定義_ソフトSS概算見積_03062１営業修正_ソフトSS概算見_JITEC見積_03.9.28" xfId="2656" xr:uid="{00000000-0005-0000-0000-00007D0A0000}"/>
    <cellStyle name="見積-桁区切り_要件定義_ソフトSS概算見積_03062１営業修正_ソフトSS概算見_JITEC見積_03.9.28" xfId="2657" xr:uid="{00000000-0005-0000-0000-00007E0A0000}"/>
    <cellStyle name="見積桁区切り_要件定義_ソフトSS概算見積_03062１営業修正_ソフトSS概算見_開発見積" xfId="2658" xr:uid="{00000000-0005-0000-0000-00007F0A0000}"/>
    <cellStyle name="見積-桁区切り_要件定義_ソフトSS概算見積_03062１営業修正_ソフトSS概算見_開発見積" xfId="2659" xr:uid="{00000000-0005-0000-0000-0000800A0000}"/>
    <cellStyle name="見積桁区切り_要件定義_ソフトSS概算見積_03062１営業修正_開発見積" xfId="2660" xr:uid="{00000000-0005-0000-0000-0000810A0000}"/>
    <cellStyle name="見積-桁区切り_要件定義_ソフトSS概算見積_03062１営業修正_開発見積" xfId="2661" xr:uid="{00000000-0005-0000-0000-0000820A0000}"/>
    <cellStyle name="見積桁区切り_要件定義_ソフトSS概算見積_030627" xfId="2662" xr:uid="{00000000-0005-0000-0000-0000830A0000}"/>
    <cellStyle name="見積-桁区切り_要件定義_ソフトSS概算見積_030627" xfId="2663" xr:uid="{00000000-0005-0000-0000-0000840A0000}"/>
    <cellStyle name="見積桁区切り_要件定義_開発見積" xfId="2664" xr:uid="{00000000-0005-0000-0000-0000850A0000}"/>
    <cellStyle name="見積-桁区切り_要件定義_開発見積" xfId="2665" xr:uid="{00000000-0005-0000-0000-0000860A0000}"/>
    <cellStyle name="見積-通貨記号" xfId="2666" xr:uid="{00000000-0005-0000-0000-0000870A0000}"/>
    <cellStyle name="好" xfId="2667" xr:uid="{00000000-0005-0000-0000-0000880A0000}"/>
    <cellStyle name="好_120720【日一新殿】拠点展開費用" xfId="2668" xr:uid="{00000000-0005-0000-0000-0000890A0000}"/>
    <cellStyle name="好_Asics_インベントリシステム_見積" xfId="2669" xr:uid="{00000000-0005-0000-0000-00008A0A0000}"/>
    <cellStyle name="好_SYNYR3000_詳細設計書_入荷予定リスト発行" xfId="2721" xr:uid="{00000000-0005-0000-0000-00008B0A0000}"/>
    <cellStyle name="好_検品センター顧客請求分" xfId="2670" xr:uid="{00000000-0005-0000-0000-00008C0A0000}"/>
    <cellStyle name="好_別紙６．品質評価報告書" xfId="2722" xr:uid="{00000000-0005-0000-0000-00008D0A0000}"/>
    <cellStyle name="差" xfId="2723" xr:uid="{00000000-0005-0000-0000-00008E0A0000}"/>
    <cellStyle name="差_120720【日一新殿】拠点展開費用" xfId="2671" xr:uid="{00000000-0005-0000-0000-00008F0A0000}"/>
    <cellStyle name="差_Asics_インベントリシステム_見積" xfId="2672" xr:uid="{00000000-0005-0000-0000-0000900A0000}"/>
    <cellStyle name="差_SYNYR3000_詳細設計書_入荷予定リスト発行" xfId="2724" xr:uid="{00000000-0005-0000-0000-0000910A0000}"/>
    <cellStyle name="差_検品センター顧客請求分" xfId="2673" xr:uid="{00000000-0005-0000-0000-0000920A0000}"/>
    <cellStyle name="差_別紙６．品質評価報告書" xfId="2725" xr:uid="{00000000-0005-0000-0000-0000930A0000}"/>
    <cellStyle name="常规 2" xfId="2674" xr:uid="{00000000-0005-0000-0000-0000940A0000}"/>
    <cellStyle name="常规 2 2" xfId="2675" xr:uid="{00000000-0005-0000-0000-0000950A0000}"/>
    <cellStyle name="常规 2 3" xfId="2760" xr:uid="{00000000-0005-0000-0000-0000960A0000}"/>
    <cellStyle name="常规 3" xfId="2676" xr:uid="{00000000-0005-0000-0000-0000970A0000}"/>
    <cellStyle name="常规 4" xfId="2677" xr:uid="{00000000-0005-0000-0000-0000980A0000}"/>
    <cellStyle name="常规 7" xfId="2678" xr:uid="{00000000-0005-0000-0000-0000990A0000}"/>
    <cellStyle name="千位分隔[0] 2" xfId="2679" xr:uid="{00000000-0005-0000-0000-00009A0A0000}"/>
    <cellStyle name="脱浦 [0.00]" xfId="2680" xr:uid="{00000000-0005-0000-0000-00009B0A0000}"/>
    <cellStyle name="脱浦_?O±U" xfId="2681" xr:uid="{00000000-0005-0000-0000-00009C0A0000}"/>
    <cellStyle name="注释" xfId="2726" xr:uid="{00000000-0005-0000-0000-00009D0A0000}"/>
    <cellStyle name="注释 2" xfId="2774" xr:uid="{00000000-0005-0000-0000-00009E0A0000}"/>
    <cellStyle name="通貨 [0.00" xfId="2682" xr:uid="{00000000-0005-0000-0000-00009F0A0000}"/>
    <cellStyle name="通貨 2" xfId="2758" xr:uid="{00000000-0005-0000-0000-0000A00A0000}"/>
    <cellStyle name="百分比 2" xfId="2683" xr:uid="{00000000-0005-0000-0000-0000A10A0000}"/>
    <cellStyle name="標準" xfId="0" builtinId="0"/>
    <cellStyle name="標準 10" xfId="2762" xr:uid="{00000000-0005-0000-0000-0000A30A0000}"/>
    <cellStyle name="標準 11" xfId="14" xr:uid="{00000000-0005-0000-0000-0000A40A0000}"/>
    <cellStyle name="標準 12" xfId="2779" xr:uid="{37B2C5C6-F744-4E1D-9C1F-C4154EFB4BBE}"/>
    <cellStyle name="標準 14" xfId="8" xr:uid="{00000000-0005-0000-0000-0000A50A0000}"/>
    <cellStyle name="標準 2" xfId="2" xr:uid="{00000000-0005-0000-0000-0000A60A0000}"/>
    <cellStyle name="標準 2 2" xfId="9" xr:uid="{00000000-0005-0000-0000-0000A70A0000}"/>
    <cellStyle name="標準 2 3" xfId="2727" xr:uid="{00000000-0005-0000-0000-0000A80A0000}"/>
    <cellStyle name="標準 2 4" xfId="1" xr:uid="{00000000-0005-0000-0000-0000A90A0000}"/>
    <cellStyle name="標準 3" xfId="4" xr:uid="{00000000-0005-0000-0000-0000AA0A0000}"/>
    <cellStyle name="標準 3 10" xfId="13" xr:uid="{00000000-0005-0000-0000-0000AB0A0000}"/>
    <cellStyle name="標準 3 2" xfId="2761" xr:uid="{00000000-0005-0000-0000-0000AC0A0000}"/>
    <cellStyle name="標準 3 4" xfId="2684" xr:uid="{00000000-0005-0000-0000-0000AD0A0000}"/>
    <cellStyle name="標準 4" xfId="6" xr:uid="{00000000-0005-0000-0000-0000AE0A0000}"/>
    <cellStyle name="標準 4 2" xfId="10" xr:uid="{00000000-0005-0000-0000-0000AF0A0000}"/>
    <cellStyle name="標準 4 3" xfId="2685" xr:uid="{00000000-0005-0000-0000-0000B00A0000}"/>
    <cellStyle name="標準 5" xfId="7" xr:uid="{00000000-0005-0000-0000-0000B10A0000}"/>
    <cellStyle name="標準 5 2" xfId="2687" xr:uid="{00000000-0005-0000-0000-0000B20A0000}"/>
    <cellStyle name="標準 5 3" xfId="2748" xr:uid="{00000000-0005-0000-0000-0000B30A0000}"/>
    <cellStyle name="標準 5 4" xfId="2686" xr:uid="{00000000-0005-0000-0000-0000B40A0000}"/>
    <cellStyle name="標準 6" xfId="2697" xr:uid="{00000000-0005-0000-0000-0000B50A0000}"/>
    <cellStyle name="標準 7" xfId="2688" xr:uid="{00000000-0005-0000-0000-0000B60A0000}"/>
    <cellStyle name="標準 8" xfId="2749" xr:uid="{00000000-0005-0000-0000-0000B70A0000}"/>
    <cellStyle name="標準 9" xfId="2759" xr:uid="{00000000-0005-0000-0000-0000B80A0000}"/>
    <cellStyle name="標準 9 2" xfId="2763" xr:uid="{00000000-0005-0000-0000-0000B90A0000}"/>
    <cellStyle name="標準１" xfId="2689" xr:uid="{00000000-0005-0000-0000-0000BA0A0000}"/>
    <cellStyle name="標徨" xfId="2690" xr:uid="{00000000-0005-0000-0000-0000BB0A0000}"/>
    <cellStyle name="付加情報" xfId="2691" xr:uid="{00000000-0005-0000-0000-0000BC0A0000}"/>
    <cellStyle name="付加情報 2" xfId="2773" xr:uid="{00000000-0005-0000-0000-0000BD0A0000}"/>
    <cellStyle name="文字列" xfId="2692" xr:uid="{00000000-0005-0000-0000-0000BE0A0000}"/>
    <cellStyle name="未定義" xfId="2693" xr:uid="{00000000-0005-0000-0000-0000BF0A0000}"/>
    <cellStyle name="明朝(602R)" xfId="2694" xr:uid="{00000000-0005-0000-0000-0000C00A0000}"/>
    <cellStyle name="明朝強調(602R)" xfId="2695" xr:uid="{00000000-0005-0000-0000-0000C10A0000}"/>
    <cellStyle name="표준_Book2" xfId="2728" xr:uid="{00000000-0005-0000-0000-0000C20A0000}"/>
    <cellStyle name="强调文字颜色 1" xfId="2729" xr:uid="{00000000-0005-0000-0000-0000C30A0000}"/>
    <cellStyle name="强调文字颜色 2" xfId="2730" xr:uid="{00000000-0005-0000-0000-0000C40A0000}"/>
    <cellStyle name="强调文字颜色 3" xfId="2731" xr:uid="{00000000-0005-0000-0000-0000C50A0000}"/>
    <cellStyle name="强调文字颜色 4" xfId="2732" xr:uid="{00000000-0005-0000-0000-0000C60A0000}"/>
    <cellStyle name="强调文字颜色 5" xfId="2733" xr:uid="{00000000-0005-0000-0000-0000C70A0000}"/>
    <cellStyle name="强调文字颜色 6" xfId="2734" xr:uid="{00000000-0005-0000-0000-0000C80A0000}"/>
    <cellStyle name="标题" xfId="2735" xr:uid="{00000000-0005-0000-0000-0000C90A0000}"/>
    <cellStyle name="标题 1" xfId="2736" xr:uid="{00000000-0005-0000-0000-0000CA0A0000}"/>
    <cellStyle name="标题 2" xfId="2737" xr:uid="{00000000-0005-0000-0000-0000CB0A0000}"/>
    <cellStyle name="标题 3" xfId="2738" xr:uid="{00000000-0005-0000-0000-0000CC0A0000}"/>
    <cellStyle name="标题 4" xfId="2739" xr:uid="{00000000-0005-0000-0000-0000CD0A0000}"/>
    <cellStyle name="标题_SYNYR3000_詳細設計書_入荷予定リスト発行" xfId="2740" xr:uid="{00000000-0005-0000-0000-0000CE0A0000}"/>
    <cellStyle name="样式 1" xfId="2696" xr:uid="{00000000-0005-0000-0000-0000CF0A0000}"/>
    <cellStyle name="检查单元格" xfId="2741" xr:uid="{00000000-0005-0000-0000-0000D00A0000}"/>
    <cellStyle name="汇总" xfId="2742" xr:uid="{00000000-0005-0000-0000-0000D10A0000}"/>
    <cellStyle name="汇总 2" xfId="2775" xr:uid="{00000000-0005-0000-0000-0000D20A0000}"/>
    <cellStyle name="计算" xfId="2743" xr:uid="{00000000-0005-0000-0000-0000D30A0000}"/>
    <cellStyle name="计算 2" xfId="2776" xr:uid="{00000000-0005-0000-0000-0000D40A0000}"/>
    <cellStyle name="输出" xfId="2744" xr:uid="{00000000-0005-0000-0000-0000D50A0000}"/>
    <cellStyle name="输出 2" xfId="2777" xr:uid="{00000000-0005-0000-0000-0000D60A0000}"/>
    <cellStyle name="输入" xfId="2745" xr:uid="{00000000-0005-0000-0000-0000D70A0000}"/>
    <cellStyle name="输入 2" xfId="2778" xr:uid="{00000000-0005-0000-0000-0000D80A0000}"/>
    <cellStyle name="适中" xfId="2746" xr:uid="{00000000-0005-0000-0000-0000D90A0000}"/>
    <cellStyle name="链接单元格" xfId="2747" xr:uid="{00000000-0005-0000-0000-0000DA0A0000}"/>
  </cellStyles>
  <dxfs count="389">
    <dxf>
      <fill>
        <patternFill>
          <bgColor theme="0" tint="-0.24994659260841701"/>
        </patternFill>
      </fill>
    </dxf>
    <dxf>
      <fill>
        <patternFill>
          <bgColor theme="0" tint="-0.24994659260841701"/>
        </patternFill>
      </fill>
    </dxf>
    <dxf>
      <fill>
        <patternFill>
          <bgColor theme="0" tint="-0.24994659260841701"/>
        </patternFill>
      </fill>
    </dxf>
    <dxf>
      <font>
        <b/>
        <i val="0"/>
        <color rgb="FFFF0000"/>
      </font>
      <fill>
        <patternFill>
          <bgColor theme="0" tint="-0.14996795556505021"/>
        </patternFill>
      </fill>
    </dxf>
    <dxf>
      <font>
        <b/>
        <i val="0"/>
        <color rgb="FF0070C0"/>
      </font>
      <fill>
        <patternFill>
          <bgColor theme="0" tint="-0.14996795556505021"/>
        </patternFill>
      </fill>
    </dxf>
    <dxf>
      <font>
        <b/>
        <i val="0"/>
        <color theme="0"/>
      </font>
      <fill>
        <patternFill>
          <bgColor theme="0" tint="-0.499984740745262"/>
        </patternFill>
      </fill>
    </dxf>
    <dxf>
      <font>
        <b/>
        <i val="0"/>
        <color rgb="FFFF0000"/>
      </font>
      <fill>
        <patternFill>
          <bgColor theme="0" tint="-0.14996795556505021"/>
        </patternFill>
      </fill>
    </dxf>
    <dxf>
      <font>
        <b/>
        <i val="0"/>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ill>
        <patternFill>
          <bgColor rgb="FFFF99FF"/>
        </patternFill>
      </fill>
    </dxf>
    <dxf>
      <fill>
        <patternFill>
          <bgColor rgb="FFFF99FF"/>
        </patternFill>
      </fill>
    </dxf>
    <dxf>
      <fill>
        <patternFill>
          <bgColor rgb="FFFF99FF"/>
        </patternFill>
      </fill>
    </dxf>
    <dxf>
      <fill>
        <patternFill>
          <bgColor rgb="FFFF99FF"/>
        </patternFill>
      </fill>
    </dxf>
    <dxf>
      <fill>
        <patternFill>
          <bgColor rgb="FFFF99FF"/>
        </patternFill>
      </fill>
    </dxf>
    <dxf>
      <fill>
        <patternFill>
          <bgColor rgb="FFFF99FF"/>
        </patternFill>
      </fill>
    </dxf>
    <dxf>
      <fill>
        <patternFill>
          <bgColor theme="0" tint="-0.49998474074526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ill>
        <patternFill>
          <bgColor theme="0" tint="-0.24994659260841701"/>
        </patternFill>
      </fill>
    </dxf>
    <dxf>
      <fill>
        <patternFill>
          <bgColor theme="0" tint="-0.24994659260841701"/>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24994659260841701"/>
        </patternFill>
      </fill>
    </dxf>
    <dxf>
      <fill>
        <patternFill>
          <bgColor theme="0" tint="-0.499984740745262"/>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ill>
        <patternFill>
          <bgColor rgb="FFFF99FF"/>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24994659260841701"/>
        </patternFill>
      </fill>
    </dxf>
    <dxf>
      <fill>
        <patternFill>
          <bgColor theme="0" tint="-0.499984740745262"/>
        </patternFill>
      </fill>
    </dxf>
    <dxf>
      <fill>
        <patternFill>
          <bgColor theme="0" tint="-0.24994659260841701"/>
        </patternFill>
      </fill>
    </dxf>
    <dxf>
      <fill>
        <patternFill>
          <bgColor theme="0" tint="-0.499984740745262"/>
        </patternFill>
      </fill>
    </dxf>
    <dxf>
      <fill>
        <patternFill>
          <bgColor theme="0" tint="-0.24994659260841701"/>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ill>
        <patternFill>
          <bgColor rgb="FFFF99FF"/>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ill>
        <patternFill>
          <bgColor rgb="FFFF99FF"/>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ont>
        <color theme="0"/>
      </font>
      <fill>
        <patternFill>
          <bgColor theme="0" tint="-0.499984740745262"/>
        </patternFill>
      </fill>
    </dxf>
    <dxf>
      <fill>
        <patternFill>
          <bgColor rgb="FFFF99FF"/>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ont>
        <color theme="0"/>
      </font>
      <fill>
        <patternFill>
          <bgColor theme="0" tint="-0.499984740745262"/>
        </patternFill>
      </fill>
    </dxf>
    <dxf>
      <fill>
        <patternFill>
          <bgColor rgb="FFFF99FF"/>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rgb="FFFF99FF"/>
        </patternFill>
      </fill>
    </dxf>
    <dxf>
      <fill>
        <patternFill>
          <bgColor rgb="FFFF99FF"/>
        </patternFill>
      </fill>
    </dxf>
    <dxf>
      <font>
        <color theme="0"/>
      </font>
      <fill>
        <patternFill>
          <bgColor theme="0" tint="-0.499984740745262"/>
        </patternFill>
      </fill>
    </dxf>
    <dxf>
      <fill>
        <patternFill>
          <bgColor rgb="FFFF99FF"/>
        </patternFill>
      </fill>
    </dxf>
    <dxf>
      <font>
        <color theme="0"/>
      </font>
      <fill>
        <patternFill>
          <bgColor theme="0" tint="-0.499984740745262"/>
        </patternFill>
      </fill>
    </dxf>
    <dxf>
      <fill>
        <patternFill>
          <bgColor theme="0" tint="-0.24994659260841701"/>
        </patternFill>
      </fill>
    </dxf>
    <dxf>
      <fill>
        <patternFill>
          <bgColor theme="0" tint="-0.499984740745262"/>
        </patternFill>
      </fill>
    </dxf>
    <dxf>
      <fill>
        <patternFill>
          <bgColor rgb="FFFF99FF"/>
        </patternFill>
      </fill>
    </dxf>
    <dxf>
      <fill>
        <patternFill>
          <bgColor rgb="FFFF99FF"/>
        </patternFill>
      </fill>
    </dxf>
    <dxf>
      <fill>
        <patternFill>
          <bgColor theme="0" tint="-0.24994659260841701"/>
        </patternFill>
      </fill>
    </dxf>
    <dxf>
      <fill>
        <patternFill>
          <bgColor theme="0" tint="-0.24994659260841701"/>
        </patternFill>
      </fill>
    </dxf>
    <dxf>
      <font>
        <b/>
        <i val="0"/>
        <color rgb="FFFF0000"/>
      </font>
      <fill>
        <patternFill>
          <bgColor theme="0" tint="-0.14996795556505021"/>
        </patternFill>
      </fill>
    </dxf>
    <dxf>
      <font>
        <b/>
        <i val="0"/>
        <color rgb="FF0070C0"/>
      </font>
      <fill>
        <patternFill>
          <bgColor theme="0" tint="-0.14996795556505021"/>
        </patternFill>
      </fill>
    </dxf>
    <dxf>
      <font>
        <b/>
        <i val="0"/>
        <color theme="0"/>
      </font>
      <fill>
        <patternFill>
          <bgColor theme="0" tint="-0.499984740745262"/>
        </patternFill>
      </fill>
    </dxf>
    <dxf>
      <font>
        <b/>
        <i val="0"/>
        <color rgb="FFFF0000"/>
      </font>
      <fill>
        <patternFill>
          <bgColor theme="0" tint="-0.14996795556505021"/>
        </patternFill>
      </fill>
    </dxf>
    <dxf>
      <font>
        <b/>
        <i val="0"/>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ill>
        <patternFill>
          <bgColor rgb="FFFF99FF"/>
        </patternFill>
      </fill>
    </dxf>
    <dxf>
      <fill>
        <patternFill>
          <bgColor rgb="FFFF99FF"/>
        </patternFill>
      </fill>
    </dxf>
    <dxf>
      <fill>
        <patternFill>
          <bgColor rgb="FFFF99FF"/>
        </patternFill>
      </fill>
    </dxf>
    <dxf>
      <fill>
        <patternFill>
          <bgColor rgb="FFFF99FF"/>
        </patternFill>
      </fill>
    </dxf>
    <dxf>
      <fill>
        <patternFill>
          <bgColor rgb="FFFF99FF"/>
        </patternFill>
      </fill>
    </dxf>
    <dxf>
      <fill>
        <patternFill>
          <bgColor rgb="FFFF99FF"/>
        </patternFill>
      </fill>
    </dxf>
    <dxf>
      <fill>
        <patternFill>
          <bgColor theme="0" tint="-0.499984740745262"/>
        </patternFill>
      </fill>
    </dxf>
  </dxfs>
  <tableStyles count="0" defaultTableStyle="TableStyleMedium2" defaultPivotStyle="PivotStyleLight16"/>
  <colors>
    <mruColors>
      <color rgb="FFC9BEEC"/>
      <color rgb="FFCCFFFF"/>
      <color rgb="FFFBC9D0"/>
      <color rgb="FF0000FF"/>
      <color rgb="FF000080"/>
      <color rgb="FFFFFF99"/>
      <color rgb="FFBDF1EC"/>
      <color rgb="FFF8EA92"/>
      <color rgb="FFFFFF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876300</xdr:colOff>
          <xdr:row>3</xdr:row>
          <xdr:rowOff>152400</xdr:rowOff>
        </xdr:from>
        <xdr:to>
          <xdr:col>5</xdr:col>
          <xdr:colOff>1952625</xdr:colOff>
          <xdr:row>5</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1" i="0" u="none" strike="noStrike" baseline="0">
                  <a:solidFill>
                    <a:srgbClr val="000000"/>
                  </a:solidFill>
                  <a:latin typeface="Meiryo UI"/>
                  <a:ea typeface="Meiryo UI"/>
                </a:rPr>
                <a:t>マクロ実行</a:t>
              </a:r>
            </a:p>
          </xdr:txBody>
        </xdr:sp>
        <xdr:clientData fPrintsWithSheet="0"/>
      </xdr:twoCellAnchor>
    </mc:Choice>
    <mc:Fallback/>
  </mc:AlternateContent>
  <xdr:twoCellAnchor>
    <xdr:from>
      <xdr:col>6</xdr:col>
      <xdr:colOff>28388</xdr:colOff>
      <xdr:row>1</xdr:row>
      <xdr:rowOff>28389</xdr:rowOff>
    </xdr:from>
    <xdr:to>
      <xdr:col>11</xdr:col>
      <xdr:colOff>228600</xdr:colOff>
      <xdr:row>3</xdr:row>
      <xdr:rowOff>203199</xdr:rowOff>
    </xdr:to>
    <xdr:sp macro="" textlink="">
      <xdr:nvSpPr>
        <xdr:cNvPr id="2" name="吹き出し: 四角形 1">
          <a:extLst>
            <a:ext uri="{FF2B5EF4-FFF2-40B4-BE49-F238E27FC236}">
              <a16:creationId xmlns:a16="http://schemas.microsoft.com/office/drawing/2014/main" id="{00000000-0008-0000-0000-000002000000}"/>
            </a:ext>
          </a:extLst>
        </xdr:cNvPr>
        <xdr:cNvSpPr/>
      </xdr:nvSpPr>
      <xdr:spPr>
        <a:xfrm>
          <a:off x="4566521" y="28389"/>
          <a:ext cx="1944346" cy="716677"/>
        </a:xfrm>
        <a:prstGeom prst="wedgeRectCallout">
          <a:avLst>
            <a:gd name="adj1" fmla="val 55366"/>
            <a:gd name="adj2" fmla="val 51277"/>
          </a:avLst>
        </a:prstGeom>
        <a:solidFill>
          <a:schemeClr val="accent6">
            <a:lumMod val="20000"/>
            <a:lumOff val="8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●：担当者埋め列</a:t>
          </a:r>
          <a:endParaRPr kumimoji="1" lang="en-US" altLang="ja-JP" sz="90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a:r>
            <a:rPr kumimoji="1" lang="en-US" altLang="ja-JP" sz="90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90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：今回</a:t>
          </a:r>
          <a:r>
            <a:rPr kumimoji="1" lang="en-US" altLang="ja-JP" sz="90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PJ</a:t>
          </a:r>
          <a:r>
            <a:rPr kumimoji="1" lang="ja-JP" altLang="en-US" sz="90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不要列</a:t>
          </a:r>
          <a:endParaRPr kumimoji="1" lang="en-US" altLang="ja-JP" sz="90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a:r>
            <a:rPr kumimoji="1" lang="ja-JP" altLang="en-US" sz="90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↓追加列：テンプレートにない列</a:t>
          </a:r>
          <a:endParaRPr kumimoji="1" lang="en-US" altLang="ja-JP" sz="90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1352550</xdr:colOff>
      <xdr:row>3</xdr:row>
      <xdr:rowOff>175684</xdr:rowOff>
    </xdr:from>
    <xdr:to>
      <xdr:col>6</xdr:col>
      <xdr:colOff>50799</xdr:colOff>
      <xdr:row>5</xdr:row>
      <xdr:rowOff>188385</xdr:rowOff>
    </xdr:to>
    <xdr:sp macro="" textlink="">
      <xdr:nvSpPr>
        <xdr:cNvPr id="2" name="四角形: 角を丸くする 1">
          <a:extLst>
            <a:ext uri="{FF2B5EF4-FFF2-40B4-BE49-F238E27FC236}">
              <a16:creationId xmlns:a16="http://schemas.microsoft.com/office/drawing/2014/main" id="{00000000-0008-0000-0100-000002000000}"/>
            </a:ext>
          </a:extLst>
        </xdr:cNvPr>
        <xdr:cNvSpPr/>
      </xdr:nvSpPr>
      <xdr:spPr>
        <a:xfrm>
          <a:off x="4333875" y="670984"/>
          <a:ext cx="1241424" cy="441326"/>
        </a:xfrm>
        <a:prstGeom prst="roundRect">
          <a:avLst/>
        </a:prstGeom>
        <a:noFill/>
        <a:ln w="22225" cap="flat" cmpd="sng" algn="ctr">
          <a:solidFill>
            <a:srgbClr val="FF0000"/>
          </a:solidFill>
          <a:prstDash val="dash"/>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 lastClr="FFFFFF"/>
            </a:solidFill>
            <a:effectLst/>
            <a:uLnTx/>
            <a:uFillTx/>
            <a:latin typeface="Calibri"/>
            <a:ea typeface="ＭＳ Ｐゴシック" panose="020B0600070205080204" pitchFamily="50" charset="-128"/>
            <a:cs typeface="+mn-cs"/>
          </a:endParaRPr>
        </a:p>
      </xdr:txBody>
    </xdr:sp>
    <xdr:clientData/>
  </xdr:twoCellAnchor>
  <xdr:twoCellAnchor>
    <xdr:from>
      <xdr:col>7</xdr:col>
      <xdr:colOff>29633</xdr:colOff>
      <xdr:row>2</xdr:row>
      <xdr:rowOff>142875</xdr:rowOff>
    </xdr:from>
    <xdr:to>
      <xdr:col>12</xdr:col>
      <xdr:colOff>182033</xdr:colOff>
      <xdr:row>5</xdr:row>
      <xdr:rowOff>89959</xdr:rowOff>
    </xdr:to>
    <xdr:sp macro="" textlink="">
      <xdr:nvSpPr>
        <xdr:cNvPr id="3" name="吹き出し: 角を丸めた四角形 2">
          <a:extLst>
            <a:ext uri="{FF2B5EF4-FFF2-40B4-BE49-F238E27FC236}">
              <a16:creationId xmlns:a16="http://schemas.microsoft.com/office/drawing/2014/main" id="{00000000-0008-0000-0100-000003000000}"/>
            </a:ext>
          </a:extLst>
        </xdr:cNvPr>
        <xdr:cNvSpPr/>
      </xdr:nvSpPr>
      <xdr:spPr>
        <a:xfrm>
          <a:off x="5944658" y="390525"/>
          <a:ext cx="3009900" cy="623359"/>
        </a:xfrm>
        <a:prstGeom prst="wedgeRoundRectCallout">
          <a:avLst>
            <a:gd name="adj1" fmla="val -64865"/>
            <a:gd name="adj2" fmla="val 23744"/>
            <a:gd name="adj3" fmla="val 16667"/>
          </a:avLst>
        </a:prstGeom>
        <a:gradFill rotWithShape="1">
          <a:gsLst>
            <a:gs pos="0">
              <a:srgbClr val="4F81BD">
                <a:tint val="50000"/>
                <a:satMod val="300000"/>
              </a:srgbClr>
            </a:gs>
            <a:gs pos="35000">
              <a:srgbClr val="4F81BD">
                <a:tint val="37000"/>
                <a:satMod val="300000"/>
              </a:srgbClr>
            </a:gs>
            <a:gs pos="100000">
              <a:srgbClr val="4F81BD">
                <a:tint val="15000"/>
                <a:satMod val="350000"/>
              </a:srgbClr>
            </a:gs>
          </a:gsLst>
          <a:lin ang="16200000" scaled="1"/>
        </a:gradFill>
        <a:ln w="9525" cap="flat" cmpd="sng" algn="ctr">
          <a:solidFill>
            <a:srgbClr val="4F81BD">
              <a:shade val="95000"/>
              <a:satMod val="105000"/>
            </a:srgbClr>
          </a:solidFill>
          <a:prstDash val="solid"/>
        </a:ln>
        <a:effectLst>
          <a:outerShdw blurRad="40000" dist="20000" dir="5400000" rotWithShape="0">
            <a:srgbClr val="000000">
              <a:alpha val="38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50" b="1"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入力完了後は必ずボタンを押下してください。</a:t>
          </a:r>
          <a:endParaRPr kumimoji="1" lang="en-US" altLang="ja-JP" sz="1050" b="1"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50" b="1"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押下しないと</a:t>
          </a:r>
          <a:r>
            <a:rPr kumimoji="1" lang="en-US" altLang="ja-JP" sz="1050" b="1"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SLPM</a:t>
          </a:r>
          <a:r>
            <a:rPr kumimoji="1" lang="ja-JP" altLang="en-US" sz="1050" b="1"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アップロードでエラーとなります。</a:t>
          </a:r>
        </a:p>
      </xdr:txBody>
    </xdr:sp>
    <xdr:clientData/>
  </xdr:twoCellAnchor>
  <xdr:twoCellAnchor>
    <xdr:from>
      <xdr:col>5</xdr:col>
      <xdr:colOff>1482724</xdr:colOff>
      <xdr:row>4</xdr:row>
      <xdr:rowOff>47625</xdr:rowOff>
    </xdr:from>
    <xdr:to>
      <xdr:col>5</xdr:col>
      <xdr:colOff>2477558</xdr:colOff>
      <xdr:row>5</xdr:row>
      <xdr:rowOff>93134</xdr:rowOff>
    </xdr:to>
    <xdr:sp macro="" textlink="">
      <xdr:nvSpPr>
        <xdr:cNvPr id="4" name="正方形/長方形 3">
          <a:extLst>
            <a:ext uri="{FF2B5EF4-FFF2-40B4-BE49-F238E27FC236}">
              <a16:creationId xmlns:a16="http://schemas.microsoft.com/office/drawing/2014/main" id="{00000000-0008-0000-0100-000004000000}"/>
            </a:ext>
          </a:extLst>
        </xdr:cNvPr>
        <xdr:cNvSpPr/>
      </xdr:nvSpPr>
      <xdr:spPr>
        <a:xfrm>
          <a:off x="4464049" y="790575"/>
          <a:ext cx="994834" cy="226484"/>
        </a:xfrm>
        <a:prstGeom prst="rect">
          <a:avLst/>
        </a:prstGeom>
        <a:solidFill>
          <a:sysClr val="window" lastClr="FFFFFF">
            <a:lumMod val="85000"/>
          </a:sysClr>
        </a:solidFill>
        <a:ln w="25400" cap="flat" cmpd="sng" algn="ctr">
          <a:noFill/>
          <a:prstDash val="solid"/>
        </a:ln>
        <a:effectLst>
          <a:outerShdw blurRad="50800" dist="12700" dir="2700000" algn="tl" rotWithShape="0">
            <a:prstClr val="black"/>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1100" b="1" i="0" u="none" strike="noStrike" kern="0" cap="none" spc="0" normalizeH="0" baseline="0" noProof="0">
              <a:ln>
                <a:noFill/>
              </a:ln>
              <a:solidFill>
                <a:sysClr val="windowText" lastClr="000000"/>
              </a:solidFill>
              <a:effectLst/>
              <a:uLnTx/>
              <a:uFillTx/>
              <a:latin typeface="Meiryo UI" panose="020B0604030504040204" pitchFamily="50" charset="-128"/>
              <a:ea typeface="Meiryo UI" panose="020B0604030504040204" pitchFamily="50" charset="-128"/>
              <a:cs typeface="+mn-cs"/>
            </a:rPr>
            <a:t>マクロ実行</a:t>
          </a:r>
        </a:p>
      </xdr:txBody>
    </xdr:sp>
    <xdr:clientData/>
  </xdr:twoCellAnchor>
  <xdr:twoCellAnchor>
    <xdr:from>
      <xdr:col>4</xdr:col>
      <xdr:colOff>38100</xdr:colOff>
      <xdr:row>4</xdr:row>
      <xdr:rowOff>9525</xdr:rowOff>
    </xdr:from>
    <xdr:to>
      <xdr:col>4</xdr:col>
      <xdr:colOff>914400</xdr:colOff>
      <xdr:row>5</xdr:row>
      <xdr:rowOff>161925</xdr:rowOff>
    </xdr:to>
    <xdr:sp macro="" textlink="">
      <xdr:nvSpPr>
        <xdr:cNvPr id="5" name="吹き出し: 角を丸めた四角形 4">
          <a:extLst>
            <a:ext uri="{FF2B5EF4-FFF2-40B4-BE49-F238E27FC236}">
              <a16:creationId xmlns:a16="http://schemas.microsoft.com/office/drawing/2014/main" id="{00000000-0008-0000-0100-000005000000}"/>
            </a:ext>
          </a:extLst>
        </xdr:cNvPr>
        <xdr:cNvSpPr/>
      </xdr:nvSpPr>
      <xdr:spPr>
        <a:xfrm>
          <a:off x="1924050" y="752475"/>
          <a:ext cx="876300" cy="333375"/>
        </a:xfrm>
        <a:prstGeom prst="wedgeRoundRectCallout">
          <a:avLst>
            <a:gd name="adj1" fmla="val -70109"/>
            <a:gd name="adj2" fmla="val 24024"/>
            <a:gd name="adj3" fmla="val 16667"/>
          </a:avLst>
        </a:prstGeom>
        <a:solidFill>
          <a:srgbClr val="4F81BD"/>
        </a:solidFill>
        <a:ln w="25400" cap="flat" cmpd="sng" algn="ctr">
          <a:solidFill>
            <a:srgbClr val="4F81BD">
              <a:shade val="50000"/>
            </a:srgbClr>
          </a:solidFill>
          <a:prstDash val="solid"/>
        </a:ln>
        <a:effectLst/>
      </xdr:spPr>
      <xdr:txBody>
        <a:bodyPr vertOverflow="clip" horzOverflow="clip" lIns="36000" tIns="36000" rIns="36000" bIns="36000"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en-US" altLang="ja-JP" sz="1000" b="0"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n-cs"/>
            </a:rPr>
            <a:t>"1:UT"</a:t>
          </a:r>
          <a:r>
            <a:rPr kumimoji="1" lang="ja-JP" altLang="en-US" sz="1000" b="0"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n-cs"/>
            </a:rPr>
            <a:t>固定</a:t>
          </a:r>
        </a:p>
      </xdr:txBody>
    </xdr:sp>
    <xdr:clientData/>
  </xdr:twoCellAnchor>
  <xdr:twoCellAnchor>
    <xdr:from>
      <xdr:col>3</xdr:col>
      <xdr:colOff>1009650</xdr:colOff>
      <xdr:row>1</xdr:row>
      <xdr:rowOff>38100</xdr:rowOff>
    </xdr:from>
    <xdr:to>
      <xdr:col>5</xdr:col>
      <xdr:colOff>304800</xdr:colOff>
      <xdr:row>2</xdr:row>
      <xdr:rowOff>28575</xdr:rowOff>
    </xdr:to>
    <xdr:sp macro="" textlink="">
      <xdr:nvSpPr>
        <xdr:cNvPr id="6" name="四角形: 角を丸くする 5">
          <a:extLst>
            <a:ext uri="{FF2B5EF4-FFF2-40B4-BE49-F238E27FC236}">
              <a16:creationId xmlns:a16="http://schemas.microsoft.com/office/drawing/2014/main" id="{00000000-0008-0000-0100-000006000000}"/>
            </a:ext>
          </a:extLst>
        </xdr:cNvPr>
        <xdr:cNvSpPr/>
      </xdr:nvSpPr>
      <xdr:spPr>
        <a:xfrm>
          <a:off x="1828800" y="38100"/>
          <a:ext cx="1457325" cy="238125"/>
        </a:xfrm>
        <a:prstGeom prst="roundRect">
          <a:avLst/>
        </a:prstGeom>
        <a:noFill/>
        <a:ln w="22225" cap="flat" cmpd="sng" algn="ctr">
          <a:solidFill>
            <a:srgbClr val="FF0000"/>
          </a:solidFill>
          <a:prstDash val="dash"/>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 lastClr="FFFFFF"/>
            </a:solidFill>
            <a:effectLst/>
            <a:uLnTx/>
            <a:uFillTx/>
            <a:latin typeface="Calibri"/>
            <a:ea typeface="ＭＳ Ｐゴシック" panose="020B0600070205080204" pitchFamily="50" charset="-128"/>
            <a:cs typeface="+mn-cs"/>
          </a:endParaRPr>
        </a:p>
      </xdr:txBody>
    </xdr:sp>
    <xdr:clientData/>
  </xdr:twoCellAnchor>
  <xdr:twoCellAnchor>
    <xdr:from>
      <xdr:col>5</xdr:col>
      <xdr:colOff>9525</xdr:colOff>
      <xdr:row>1</xdr:row>
      <xdr:rowOff>228600</xdr:rowOff>
    </xdr:from>
    <xdr:to>
      <xdr:col>5</xdr:col>
      <xdr:colOff>1181100</xdr:colOff>
      <xdr:row>4</xdr:row>
      <xdr:rowOff>85725</xdr:rowOff>
    </xdr:to>
    <xdr:sp macro="" textlink="">
      <xdr:nvSpPr>
        <xdr:cNvPr id="7" name="吹き出し: 角を丸めた四角形 6">
          <a:extLst>
            <a:ext uri="{FF2B5EF4-FFF2-40B4-BE49-F238E27FC236}">
              <a16:creationId xmlns:a16="http://schemas.microsoft.com/office/drawing/2014/main" id="{00000000-0008-0000-0100-000007000000}"/>
            </a:ext>
          </a:extLst>
        </xdr:cNvPr>
        <xdr:cNvSpPr/>
      </xdr:nvSpPr>
      <xdr:spPr>
        <a:xfrm>
          <a:off x="2990850" y="228600"/>
          <a:ext cx="1171575" cy="600075"/>
        </a:xfrm>
        <a:prstGeom prst="wedgeRoundRectCallout">
          <a:avLst>
            <a:gd name="adj1" fmla="val -67572"/>
            <a:gd name="adj2" fmla="val -50897"/>
            <a:gd name="adj3" fmla="val 16667"/>
          </a:avLst>
        </a:prstGeom>
        <a:solidFill>
          <a:srgbClr val="8064A2"/>
        </a:solidFill>
        <a:ln w="25400" cap="flat" cmpd="sng" algn="ctr">
          <a:solidFill>
            <a:srgbClr val="8064A2">
              <a:shade val="50000"/>
            </a:srgbClr>
          </a:solidFill>
          <a:prstDash val="solid"/>
        </a:ln>
        <a:effectLst/>
      </xdr:spPr>
      <xdr:txBody>
        <a:bodyPr vertOverflow="clip" horzOverflow="clip" lIns="36000" tIns="36000" rIns="36000" bIns="36000"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n-cs"/>
            </a:rPr>
            <a:t>［</a:t>
          </a:r>
          <a:r>
            <a:rPr kumimoji="1" lang="en-US" altLang="ja-JP" sz="1000" b="0"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n-cs"/>
            </a:rPr>
            <a:t>PJ</a:t>
          </a:r>
          <a:r>
            <a:rPr kumimoji="1" lang="ja-JP" altLang="en-US" sz="1000" b="0"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n-cs"/>
            </a:rPr>
            <a:t>推］採番の</a:t>
          </a:r>
          <a:r>
            <a:rPr kumimoji="1" lang="en-US" altLang="ja-JP" sz="1000" b="0"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n-cs"/>
            </a:rPr>
            <a:t>CD</a:t>
          </a:r>
          <a:r>
            <a:rPr kumimoji="1" lang="ja-JP" altLang="en-US" sz="1000" b="0" i="0" u="none" strike="noStrike" kern="0" cap="none" spc="0" normalizeH="0" baseline="0" noProof="0">
              <a:ln>
                <a:noFill/>
              </a:ln>
              <a:solidFill>
                <a:sysClr val="window" lastClr="FFFFFF"/>
              </a:solidFill>
              <a:effectLst/>
              <a:uLnTx/>
              <a:uFillTx/>
              <a:latin typeface="Meiryo UI" panose="020B0604030504040204" pitchFamily="50" charset="-128"/>
              <a:ea typeface="Meiryo UI" panose="020B0604030504040204" pitchFamily="50" charset="-128"/>
              <a:cs typeface="+mn-cs"/>
            </a:rPr>
            <a:t>を設定する</a:t>
          </a:r>
        </a:p>
      </xdr:txBody>
    </xdr:sp>
    <xdr:clientData/>
  </xdr:twoCellAnchor>
  <xdr:twoCellAnchor>
    <xdr:from>
      <xdr:col>2</xdr:col>
      <xdr:colOff>152400</xdr:colOff>
      <xdr:row>16</xdr:row>
      <xdr:rowOff>38100</xdr:rowOff>
    </xdr:from>
    <xdr:to>
      <xdr:col>4</xdr:col>
      <xdr:colOff>904875</xdr:colOff>
      <xdr:row>20</xdr:row>
      <xdr:rowOff>123825</xdr:rowOff>
    </xdr:to>
    <xdr:sp macro="" textlink="">
      <xdr:nvSpPr>
        <xdr:cNvPr id="8" name="吹き出し: 角を丸めた四角形 7">
          <a:extLst>
            <a:ext uri="{FF2B5EF4-FFF2-40B4-BE49-F238E27FC236}">
              <a16:creationId xmlns:a16="http://schemas.microsoft.com/office/drawing/2014/main" id="{00000000-0008-0000-0100-000008000000}"/>
            </a:ext>
          </a:extLst>
        </xdr:cNvPr>
        <xdr:cNvSpPr/>
      </xdr:nvSpPr>
      <xdr:spPr>
        <a:xfrm>
          <a:off x="466725" y="3295650"/>
          <a:ext cx="2324100" cy="809625"/>
        </a:xfrm>
        <a:prstGeom prst="wedgeRoundRectCallout">
          <a:avLst>
            <a:gd name="adj1" fmla="val -68470"/>
            <a:gd name="adj2" fmla="val 13436"/>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t"/>
        <a:lstStyle/>
        <a:p>
          <a:pPr algn="l"/>
          <a:r>
            <a:rPr kumimoji="1" lang="ja-JP" altLang="en-US" sz="1000">
              <a:latin typeface="Meiryo UI" panose="020B0604030504040204" pitchFamily="50" charset="-128"/>
              <a:ea typeface="Meiryo UI" panose="020B0604030504040204" pitchFamily="50" charset="-128"/>
            </a:rPr>
            <a:t>必要に応じて行の追加と削除が可能です</a:t>
          </a:r>
          <a:endParaRPr kumimoji="1" lang="en-US" altLang="ja-JP" sz="1000">
            <a:latin typeface="Meiryo UI" panose="020B0604030504040204" pitchFamily="50" charset="-128"/>
            <a:ea typeface="Meiryo UI" panose="020B0604030504040204" pitchFamily="50" charset="-128"/>
          </a:endParaRPr>
        </a:p>
        <a:p>
          <a:pPr algn="l"/>
          <a:r>
            <a:rPr kumimoji="1" lang="ja-JP" altLang="en-US" sz="1000">
              <a:latin typeface="Meiryo UI" panose="020B0604030504040204" pitchFamily="50" charset="-128"/>
              <a:ea typeface="Meiryo UI" panose="020B0604030504040204" pitchFamily="50" charset="-128"/>
            </a:rPr>
            <a:t>追加する場合は計算式保護のため、行複写を推奨します</a:t>
          </a:r>
        </a:p>
      </xdr:txBody>
    </xdr:sp>
    <xdr:clientData/>
  </xdr:twoCellAnchor>
  <xdr:twoCellAnchor>
    <xdr:from>
      <xdr:col>5</xdr:col>
      <xdr:colOff>352425</xdr:colOff>
      <xdr:row>15</xdr:row>
      <xdr:rowOff>85726</xdr:rowOff>
    </xdr:from>
    <xdr:to>
      <xdr:col>5</xdr:col>
      <xdr:colOff>1866900</xdr:colOff>
      <xdr:row>20</xdr:row>
      <xdr:rowOff>47627</xdr:rowOff>
    </xdr:to>
    <xdr:sp macro="" textlink="">
      <xdr:nvSpPr>
        <xdr:cNvPr id="9" name="吹き出し: 角を丸めた四角形 8">
          <a:extLst>
            <a:ext uri="{FF2B5EF4-FFF2-40B4-BE49-F238E27FC236}">
              <a16:creationId xmlns:a16="http://schemas.microsoft.com/office/drawing/2014/main" id="{00000000-0008-0000-0100-000009000000}"/>
            </a:ext>
          </a:extLst>
        </xdr:cNvPr>
        <xdr:cNvSpPr/>
      </xdr:nvSpPr>
      <xdr:spPr>
        <a:xfrm>
          <a:off x="3333750" y="3162301"/>
          <a:ext cx="1514475" cy="866776"/>
        </a:xfrm>
        <a:prstGeom prst="wedgeRoundRectCallout">
          <a:avLst>
            <a:gd name="adj1" fmla="val -30648"/>
            <a:gd name="adj2" fmla="val -72020"/>
            <a:gd name="adj3" fmla="val 16667"/>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lIns="36000" tIns="36000" rIns="36000" bIns="36000" rtlCol="0" anchor="t"/>
        <a:lstStyle/>
        <a:p>
          <a:pPr algn="l"/>
          <a:r>
            <a:rPr kumimoji="1" lang="ja-JP" altLang="en-US" sz="1000">
              <a:latin typeface="Meiryo UI" panose="020B0604030504040204" pitchFamily="50" charset="-128"/>
              <a:ea typeface="Meiryo UI" panose="020B0604030504040204" pitchFamily="50" charset="-128"/>
            </a:rPr>
            <a:t>入力のある行が取り込みの対象になります</a:t>
          </a:r>
        </a:p>
      </xdr:txBody>
    </xdr:sp>
    <xdr:clientData/>
  </xdr:twoCellAnchor>
  <xdr:twoCellAnchor>
    <xdr:from>
      <xdr:col>5</xdr:col>
      <xdr:colOff>0</xdr:colOff>
      <xdr:row>8</xdr:row>
      <xdr:rowOff>9525</xdr:rowOff>
    </xdr:from>
    <xdr:to>
      <xdr:col>5</xdr:col>
      <xdr:colOff>2514600</xdr:colOff>
      <xdr:row>14</xdr:row>
      <xdr:rowOff>38100</xdr:rowOff>
    </xdr:to>
    <xdr:sp macro=""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2981325" y="1685925"/>
          <a:ext cx="2514600" cy="1247775"/>
        </a:xfrm>
        <a:prstGeom prst="roundRect">
          <a:avLst>
            <a:gd name="adj" fmla="val 3359"/>
          </a:avLst>
        </a:prstGeom>
        <a:noFill/>
        <a:ln w="2222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133351</xdr:colOff>
      <xdr:row>15</xdr:row>
      <xdr:rowOff>104775</xdr:rowOff>
    </xdr:from>
    <xdr:to>
      <xdr:col>10</xdr:col>
      <xdr:colOff>76201</xdr:colOff>
      <xdr:row>20</xdr:row>
      <xdr:rowOff>66676</xdr:rowOff>
    </xdr:to>
    <xdr:sp macro="" textlink="">
      <xdr:nvSpPr>
        <xdr:cNvPr id="11" name="吹き出し: 角を丸めた四角形 10">
          <a:extLst>
            <a:ext uri="{FF2B5EF4-FFF2-40B4-BE49-F238E27FC236}">
              <a16:creationId xmlns:a16="http://schemas.microsoft.com/office/drawing/2014/main" id="{00000000-0008-0000-0100-00000B000000}"/>
            </a:ext>
          </a:extLst>
        </xdr:cNvPr>
        <xdr:cNvSpPr/>
      </xdr:nvSpPr>
      <xdr:spPr>
        <a:xfrm>
          <a:off x="6048376" y="3181350"/>
          <a:ext cx="1543050" cy="866776"/>
        </a:xfrm>
        <a:prstGeom prst="wedgeRoundRectCallout">
          <a:avLst>
            <a:gd name="adj1" fmla="val 24621"/>
            <a:gd name="adj2" fmla="val -76416"/>
            <a:gd name="adj3" fmla="val 16667"/>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lIns="36000" tIns="36000" rIns="36000" bIns="36000" rtlCol="0" anchor="t"/>
        <a:lstStyle/>
        <a:p>
          <a:pPr algn="l"/>
          <a:r>
            <a:rPr kumimoji="1" lang="ja-JP" altLang="en-US" sz="1000">
              <a:latin typeface="Meiryo UI" panose="020B0604030504040204" pitchFamily="50" charset="-128"/>
              <a:ea typeface="Meiryo UI" panose="020B0604030504040204" pitchFamily="50" charset="-128"/>
            </a:rPr>
            <a:t>取消を選択すると取り込みの対象外に変更できます</a:t>
          </a:r>
        </a:p>
      </xdr:txBody>
    </xdr:sp>
    <xdr:clientData/>
  </xdr:twoCellAnchor>
  <xdr:twoCellAnchor>
    <xdr:from>
      <xdr:col>9</xdr:col>
      <xdr:colOff>57151</xdr:colOff>
      <xdr:row>8</xdr:row>
      <xdr:rowOff>38099</xdr:rowOff>
    </xdr:from>
    <xdr:to>
      <xdr:col>9</xdr:col>
      <xdr:colOff>457201</xdr:colOff>
      <xdr:row>14</xdr:row>
      <xdr:rowOff>85724</xdr:rowOff>
    </xdr:to>
    <xdr:sp macro="" textlink="">
      <xdr:nvSpPr>
        <xdr:cNvPr id="12" name="四角形: 角を丸くする 11">
          <a:extLst>
            <a:ext uri="{FF2B5EF4-FFF2-40B4-BE49-F238E27FC236}">
              <a16:creationId xmlns:a16="http://schemas.microsoft.com/office/drawing/2014/main" id="{00000000-0008-0000-0100-00000C000000}"/>
            </a:ext>
          </a:extLst>
        </xdr:cNvPr>
        <xdr:cNvSpPr/>
      </xdr:nvSpPr>
      <xdr:spPr>
        <a:xfrm>
          <a:off x="7067551" y="1714499"/>
          <a:ext cx="400050" cy="1266825"/>
        </a:xfrm>
        <a:prstGeom prst="roundRect">
          <a:avLst>
            <a:gd name="adj" fmla="val 6029"/>
          </a:avLst>
        </a:prstGeom>
        <a:noFill/>
        <a:ln w="2222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219075</xdr:colOff>
      <xdr:row>15</xdr:row>
      <xdr:rowOff>85725</xdr:rowOff>
    </xdr:from>
    <xdr:to>
      <xdr:col>12</xdr:col>
      <xdr:colOff>238125</xdr:colOff>
      <xdr:row>20</xdr:row>
      <xdr:rowOff>47626</xdr:rowOff>
    </xdr:to>
    <xdr:sp macro="" textlink="">
      <xdr:nvSpPr>
        <xdr:cNvPr id="13" name="吹き出し: 角を丸めた四角形 12">
          <a:extLst>
            <a:ext uri="{FF2B5EF4-FFF2-40B4-BE49-F238E27FC236}">
              <a16:creationId xmlns:a16="http://schemas.microsoft.com/office/drawing/2014/main" id="{00000000-0008-0000-0100-00000D000000}"/>
            </a:ext>
          </a:extLst>
        </xdr:cNvPr>
        <xdr:cNvSpPr/>
      </xdr:nvSpPr>
      <xdr:spPr>
        <a:xfrm>
          <a:off x="7734300" y="3162300"/>
          <a:ext cx="1276350" cy="866776"/>
        </a:xfrm>
        <a:prstGeom prst="wedgeRoundRectCallout">
          <a:avLst>
            <a:gd name="adj1" fmla="val -28064"/>
            <a:gd name="adj2" fmla="val -69822"/>
            <a:gd name="adj3" fmla="val 16667"/>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lIns="36000" tIns="36000" rIns="36000" bIns="36000" rtlCol="0" anchor="t"/>
        <a:lstStyle/>
        <a:p>
          <a:pPr algn="l"/>
          <a:r>
            <a:rPr kumimoji="1" lang="ja-JP" altLang="en-US" sz="1000">
              <a:latin typeface="Meiryo UI" panose="020B0604030504040204" pitchFamily="50" charset="-128"/>
              <a:ea typeface="Meiryo UI" panose="020B0604030504040204" pitchFamily="50" charset="-128"/>
            </a:rPr>
            <a:t>集計値が開発規模として表示されます</a:t>
          </a:r>
        </a:p>
      </xdr:txBody>
    </xdr:sp>
    <xdr:clientData/>
  </xdr:twoCellAnchor>
  <xdr:twoCellAnchor>
    <xdr:from>
      <xdr:col>10</xdr:col>
      <xdr:colOff>47626</xdr:colOff>
      <xdr:row>8</xdr:row>
      <xdr:rowOff>28575</xdr:rowOff>
    </xdr:from>
    <xdr:to>
      <xdr:col>10</xdr:col>
      <xdr:colOff>600076</xdr:colOff>
      <xdr:row>14</xdr:row>
      <xdr:rowOff>85725</xdr:rowOff>
    </xdr:to>
    <xdr:sp macro="" textlink="">
      <xdr:nvSpPr>
        <xdr:cNvPr id="14" name="四角形: 角を丸くする 13">
          <a:extLst>
            <a:ext uri="{FF2B5EF4-FFF2-40B4-BE49-F238E27FC236}">
              <a16:creationId xmlns:a16="http://schemas.microsoft.com/office/drawing/2014/main" id="{00000000-0008-0000-0100-00000E000000}"/>
            </a:ext>
          </a:extLst>
        </xdr:cNvPr>
        <xdr:cNvSpPr/>
      </xdr:nvSpPr>
      <xdr:spPr>
        <a:xfrm>
          <a:off x="7562851" y="1704975"/>
          <a:ext cx="552450" cy="1276350"/>
        </a:xfrm>
        <a:prstGeom prst="roundRect">
          <a:avLst>
            <a:gd name="adj" fmla="val 9887"/>
          </a:avLst>
        </a:prstGeom>
        <a:noFill/>
        <a:ln w="2222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342900</xdr:colOff>
      <xdr:row>15</xdr:row>
      <xdr:rowOff>95250</xdr:rowOff>
    </xdr:from>
    <xdr:to>
      <xdr:col>13</xdr:col>
      <xdr:colOff>1114425</xdr:colOff>
      <xdr:row>20</xdr:row>
      <xdr:rowOff>57151</xdr:rowOff>
    </xdr:to>
    <xdr:sp macro="" textlink="">
      <xdr:nvSpPr>
        <xdr:cNvPr id="15" name="吹き出し: 角を丸めた四角形 14">
          <a:extLst>
            <a:ext uri="{FF2B5EF4-FFF2-40B4-BE49-F238E27FC236}">
              <a16:creationId xmlns:a16="http://schemas.microsoft.com/office/drawing/2014/main" id="{00000000-0008-0000-0100-00000F000000}"/>
            </a:ext>
          </a:extLst>
        </xdr:cNvPr>
        <xdr:cNvSpPr/>
      </xdr:nvSpPr>
      <xdr:spPr>
        <a:xfrm>
          <a:off x="9115425" y="3171825"/>
          <a:ext cx="1276350" cy="866776"/>
        </a:xfrm>
        <a:prstGeom prst="wedgeRoundRectCallout">
          <a:avLst>
            <a:gd name="adj1" fmla="val -79557"/>
            <a:gd name="adj2" fmla="val -86305"/>
            <a:gd name="adj3" fmla="val 16667"/>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lIns="36000" tIns="36000" rIns="36000" bIns="36000" rtlCol="0" anchor="t"/>
        <a:lstStyle/>
        <a:p>
          <a:pPr algn="l"/>
          <a:r>
            <a:rPr kumimoji="1" lang="ja-JP" altLang="en-US" sz="1000">
              <a:latin typeface="Meiryo UI" panose="020B0604030504040204" pitchFamily="50" charset="-128"/>
              <a:ea typeface="Meiryo UI" panose="020B0604030504040204" pitchFamily="50" charset="-128"/>
            </a:rPr>
            <a:t>集計値が実績規模として表示されます</a:t>
          </a:r>
          <a:endParaRPr kumimoji="1" lang="en-US" altLang="ja-JP" sz="1000">
            <a:latin typeface="Meiryo UI" panose="020B0604030504040204" pitchFamily="50" charset="-128"/>
            <a:ea typeface="Meiryo UI" panose="020B0604030504040204" pitchFamily="50" charset="-128"/>
          </a:endParaRPr>
        </a:p>
      </xdr:txBody>
    </xdr:sp>
    <xdr:clientData/>
  </xdr:twoCellAnchor>
  <xdr:twoCellAnchor>
    <xdr:from>
      <xdr:col>11</xdr:col>
      <xdr:colOff>47626</xdr:colOff>
      <xdr:row>8</xdr:row>
      <xdr:rowOff>19050</xdr:rowOff>
    </xdr:from>
    <xdr:to>
      <xdr:col>11</xdr:col>
      <xdr:colOff>600076</xdr:colOff>
      <xdr:row>14</xdr:row>
      <xdr:rowOff>76200</xdr:rowOff>
    </xdr:to>
    <xdr:sp macro="" textlink="">
      <xdr:nvSpPr>
        <xdr:cNvPr id="16" name="四角形: 角を丸くする 15">
          <a:extLst>
            <a:ext uri="{FF2B5EF4-FFF2-40B4-BE49-F238E27FC236}">
              <a16:creationId xmlns:a16="http://schemas.microsoft.com/office/drawing/2014/main" id="{00000000-0008-0000-0100-000010000000}"/>
            </a:ext>
          </a:extLst>
        </xdr:cNvPr>
        <xdr:cNvSpPr/>
      </xdr:nvSpPr>
      <xdr:spPr>
        <a:xfrm>
          <a:off x="8191501" y="1695450"/>
          <a:ext cx="552450" cy="1276350"/>
        </a:xfrm>
        <a:prstGeom prst="roundRect">
          <a:avLst>
            <a:gd name="adj" fmla="val 9887"/>
          </a:avLst>
        </a:prstGeom>
        <a:noFill/>
        <a:ln w="2222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276224</xdr:colOff>
      <xdr:row>1</xdr:row>
      <xdr:rowOff>76200</xdr:rowOff>
    </xdr:from>
    <xdr:to>
      <xdr:col>26</xdr:col>
      <xdr:colOff>247649</xdr:colOff>
      <xdr:row>4</xdr:row>
      <xdr:rowOff>133349</xdr:rowOff>
    </xdr:to>
    <xdr:sp macro="" textlink="">
      <xdr:nvSpPr>
        <xdr:cNvPr id="17" name="吹き出し: 角を丸めた四角形 16">
          <a:extLst>
            <a:ext uri="{FF2B5EF4-FFF2-40B4-BE49-F238E27FC236}">
              <a16:creationId xmlns:a16="http://schemas.microsoft.com/office/drawing/2014/main" id="{00000000-0008-0000-0100-000011000000}"/>
            </a:ext>
          </a:extLst>
        </xdr:cNvPr>
        <xdr:cNvSpPr/>
      </xdr:nvSpPr>
      <xdr:spPr>
        <a:xfrm>
          <a:off x="9553574" y="76200"/>
          <a:ext cx="4010025" cy="800099"/>
        </a:xfrm>
        <a:prstGeom prst="wedgeRoundRectCallout">
          <a:avLst>
            <a:gd name="adj1" fmla="val -56408"/>
            <a:gd name="adj2" fmla="val -55544"/>
            <a:gd name="adj3" fmla="val 16667"/>
          </a:avLst>
        </a:prstGeom>
        <a:solidFill>
          <a:schemeClr val="accent1"/>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lIns="36000" tIns="36000" rIns="36000" bIns="36000" rtlCol="0" anchor="t"/>
        <a:lstStyle/>
        <a:p>
          <a:pPr algn="l"/>
          <a:r>
            <a:rPr kumimoji="1" lang="ja-JP" altLang="en-US" sz="1000">
              <a:latin typeface="Meiryo UI" panose="020B0604030504040204" pitchFamily="50" charset="-128"/>
              <a:ea typeface="Meiryo UI" panose="020B0604030504040204" pitchFamily="50" charset="-128"/>
            </a:rPr>
            <a:t>必要に応じてユーザ独自の列追加が可能です</a:t>
          </a:r>
          <a:endParaRPr kumimoji="1" lang="en-US" altLang="ja-JP" sz="1000">
            <a:latin typeface="Meiryo UI" panose="020B0604030504040204" pitchFamily="50" charset="-128"/>
            <a:ea typeface="Meiryo UI" panose="020B0604030504040204" pitchFamily="50" charset="-128"/>
          </a:endParaRPr>
        </a:p>
        <a:p>
          <a:pPr algn="l"/>
          <a:r>
            <a:rPr kumimoji="1" lang="ja-JP" altLang="en-US" sz="1000">
              <a:latin typeface="Meiryo UI" panose="020B0604030504040204" pitchFamily="50" charset="-128"/>
              <a:ea typeface="Meiryo UI" panose="020B0604030504040204" pitchFamily="50" charset="-128"/>
            </a:rPr>
            <a:t>また、追加した列は削除も可能です</a:t>
          </a:r>
          <a:endParaRPr kumimoji="1" lang="en-US" altLang="ja-JP" sz="1000">
            <a:latin typeface="Meiryo UI" panose="020B0604030504040204" pitchFamily="50" charset="-128"/>
            <a:ea typeface="Meiryo UI" panose="020B0604030504040204" pitchFamily="50" charset="-128"/>
          </a:endParaRPr>
        </a:p>
        <a:p>
          <a:pPr algn="l"/>
          <a:r>
            <a:rPr kumimoji="1" lang="ja-JP" altLang="en-US" sz="1000">
              <a:latin typeface="Meiryo UI" panose="020B0604030504040204" pitchFamily="50" charset="-128"/>
              <a:ea typeface="Meiryo UI" panose="020B0604030504040204" pitchFamily="50" charset="-128"/>
            </a:rPr>
            <a:t>但し、テンプレート既存の列が不要の場合は削除せずに非表示にしてください</a:t>
          </a:r>
          <a:endParaRPr kumimoji="1" lang="en-US" altLang="ja-JP" sz="1000">
            <a:latin typeface="Meiryo UI" panose="020B0604030504040204" pitchFamily="50" charset="-128"/>
            <a:ea typeface="Meiryo UI" panose="020B0604030504040204" pitchFamily="50" charset="-128"/>
          </a:endParaRPr>
        </a:p>
      </xdr:txBody>
    </xdr:sp>
    <xdr:clientData/>
  </xdr:twoCellAnchor>
  <xdr:twoCellAnchor>
    <xdr:from>
      <xdr:col>23</xdr:col>
      <xdr:colOff>38100</xdr:colOff>
      <xdr:row>8</xdr:row>
      <xdr:rowOff>19050</xdr:rowOff>
    </xdr:from>
    <xdr:to>
      <xdr:col>26</xdr:col>
      <xdr:colOff>533400</xdr:colOff>
      <xdr:row>14</xdr:row>
      <xdr:rowOff>19051</xdr:rowOff>
    </xdr:to>
    <xdr:sp macro="" textlink="">
      <xdr:nvSpPr>
        <xdr:cNvPr id="18" name="四角形: 角を丸くする 17">
          <a:extLst>
            <a:ext uri="{FF2B5EF4-FFF2-40B4-BE49-F238E27FC236}">
              <a16:creationId xmlns:a16="http://schemas.microsoft.com/office/drawing/2014/main" id="{00000000-0008-0000-0100-000012000000}"/>
            </a:ext>
          </a:extLst>
        </xdr:cNvPr>
        <xdr:cNvSpPr/>
      </xdr:nvSpPr>
      <xdr:spPr>
        <a:xfrm>
          <a:off x="11610975" y="1695450"/>
          <a:ext cx="2238375" cy="1219201"/>
        </a:xfrm>
        <a:prstGeom prst="roundRect">
          <a:avLst>
            <a:gd name="adj" fmla="val 3885"/>
          </a:avLst>
        </a:prstGeom>
        <a:noFill/>
        <a:ln w="2222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133352</xdr:colOff>
      <xdr:row>8</xdr:row>
      <xdr:rowOff>19050</xdr:rowOff>
    </xdr:from>
    <xdr:to>
      <xdr:col>27</xdr:col>
      <xdr:colOff>581026</xdr:colOff>
      <xdr:row>14</xdr:row>
      <xdr:rowOff>28575</xdr:rowOff>
    </xdr:to>
    <xdr:sp macro="" textlink="">
      <xdr:nvSpPr>
        <xdr:cNvPr id="19" name="四角形: 角を丸くする 18">
          <a:extLst>
            <a:ext uri="{FF2B5EF4-FFF2-40B4-BE49-F238E27FC236}">
              <a16:creationId xmlns:a16="http://schemas.microsoft.com/office/drawing/2014/main" id="{00000000-0008-0000-0100-000013000000}"/>
            </a:ext>
          </a:extLst>
        </xdr:cNvPr>
        <xdr:cNvSpPr/>
      </xdr:nvSpPr>
      <xdr:spPr>
        <a:xfrm>
          <a:off x="14030327" y="1695450"/>
          <a:ext cx="447674" cy="1228725"/>
        </a:xfrm>
        <a:prstGeom prst="roundRect">
          <a:avLst/>
        </a:prstGeom>
        <a:noFill/>
        <a:ln w="2222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476249</xdr:colOff>
      <xdr:row>15</xdr:row>
      <xdr:rowOff>0</xdr:rowOff>
    </xdr:from>
    <xdr:to>
      <xdr:col>28</xdr:col>
      <xdr:colOff>628649</xdr:colOff>
      <xdr:row>20</xdr:row>
      <xdr:rowOff>123826</xdr:rowOff>
    </xdr:to>
    <xdr:sp macro="" textlink="">
      <xdr:nvSpPr>
        <xdr:cNvPr id="20" name="吹き出し: 角を丸めた四角形 19">
          <a:extLst>
            <a:ext uri="{FF2B5EF4-FFF2-40B4-BE49-F238E27FC236}">
              <a16:creationId xmlns:a16="http://schemas.microsoft.com/office/drawing/2014/main" id="{00000000-0008-0000-0100-000014000000}"/>
            </a:ext>
          </a:extLst>
        </xdr:cNvPr>
        <xdr:cNvSpPr/>
      </xdr:nvSpPr>
      <xdr:spPr>
        <a:xfrm>
          <a:off x="13792199" y="3076575"/>
          <a:ext cx="1400175" cy="1028701"/>
        </a:xfrm>
        <a:prstGeom prst="wedgeRoundRectCallout">
          <a:avLst>
            <a:gd name="adj1" fmla="val -17620"/>
            <a:gd name="adj2" fmla="val -67797"/>
            <a:gd name="adj3" fmla="val 16667"/>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lIns="36000" tIns="36000" rIns="36000" bIns="36000" rtlCol="0" anchor="t"/>
        <a:lstStyle/>
        <a:p>
          <a:pPr algn="l"/>
          <a:r>
            <a:rPr kumimoji="1" lang="ja-JP" altLang="en-US" sz="1000">
              <a:latin typeface="Meiryo UI" panose="020B0604030504040204" pitchFamily="50" charset="-128"/>
              <a:ea typeface="Meiryo UI" panose="020B0604030504040204" pitchFamily="50" charset="-128"/>
            </a:rPr>
            <a:t>担当者が未入力の場合に要員</a:t>
          </a:r>
          <a:r>
            <a:rPr kumimoji="1" lang="en-US" altLang="ja-JP" sz="1000">
              <a:latin typeface="Meiryo UI" panose="020B0604030504040204" pitchFamily="50" charset="-128"/>
              <a:ea typeface="Meiryo UI" panose="020B0604030504040204" pitchFamily="50" charset="-128"/>
            </a:rPr>
            <a:t>/</a:t>
          </a:r>
          <a:r>
            <a:rPr kumimoji="1" lang="ja-JP" altLang="en-US" sz="1000">
              <a:latin typeface="Meiryo UI" panose="020B0604030504040204" pitchFamily="50" charset="-128"/>
              <a:ea typeface="Meiryo UI" panose="020B0604030504040204" pitchFamily="50" charset="-128"/>
            </a:rPr>
            <a:t>体制の未割当本数として表示されます</a:t>
          </a:r>
        </a:p>
      </xdr:txBody>
    </xdr:sp>
    <xdr:clientData/>
  </xdr:twoCellAnchor>
  <xdr:twoCellAnchor>
    <xdr:from>
      <xdr:col>34</xdr:col>
      <xdr:colOff>28575</xdr:colOff>
      <xdr:row>8</xdr:row>
      <xdr:rowOff>19051</xdr:rowOff>
    </xdr:from>
    <xdr:to>
      <xdr:col>34</xdr:col>
      <xdr:colOff>504825</xdr:colOff>
      <xdr:row>14</xdr:row>
      <xdr:rowOff>19051</xdr:rowOff>
    </xdr:to>
    <xdr:sp macro="" textlink="">
      <xdr:nvSpPr>
        <xdr:cNvPr id="21" name="四角形: 角を丸くする 20">
          <a:extLst>
            <a:ext uri="{FF2B5EF4-FFF2-40B4-BE49-F238E27FC236}">
              <a16:creationId xmlns:a16="http://schemas.microsoft.com/office/drawing/2014/main" id="{00000000-0008-0000-0100-000015000000}"/>
            </a:ext>
          </a:extLst>
        </xdr:cNvPr>
        <xdr:cNvSpPr/>
      </xdr:nvSpPr>
      <xdr:spPr>
        <a:xfrm>
          <a:off x="17916525" y="1695451"/>
          <a:ext cx="476250" cy="1219200"/>
        </a:xfrm>
        <a:prstGeom prst="roundRect">
          <a:avLst/>
        </a:prstGeom>
        <a:noFill/>
        <a:ln w="31750">
          <a:solidFill>
            <a:schemeClr val="accent3">
              <a:lumMod val="50000"/>
            </a:schemeClr>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28</xdr:col>
      <xdr:colOff>123825</xdr:colOff>
      <xdr:row>8</xdr:row>
      <xdr:rowOff>9525</xdr:rowOff>
    </xdr:from>
    <xdr:to>
      <xdr:col>28</xdr:col>
      <xdr:colOff>552450</xdr:colOff>
      <xdr:row>14</xdr:row>
      <xdr:rowOff>0</xdr:rowOff>
    </xdr:to>
    <xdr:sp macro="" textlink="">
      <xdr:nvSpPr>
        <xdr:cNvPr id="22" name="四角形: 角を丸くする 21">
          <a:extLst>
            <a:ext uri="{FF2B5EF4-FFF2-40B4-BE49-F238E27FC236}">
              <a16:creationId xmlns:a16="http://schemas.microsoft.com/office/drawing/2014/main" id="{00000000-0008-0000-0100-000016000000}"/>
            </a:ext>
          </a:extLst>
        </xdr:cNvPr>
        <xdr:cNvSpPr/>
      </xdr:nvSpPr>
      <xdr:spPr>
        <a:xfrm>
          <a:off x="14687550" y="1685925"/>
          <a:ext cx="428625" cy="1209675"/>
        </a:xfrm>
        <a:prstGeom prst="roundRect">
          <a:avLst>
            <a:gd name="adj" fmla="val 7778"/>
          </a:avLst>
        </a:prstGeom>
        <a:noFill/>
        <a:ln w="31750">
          <a:solidFill>
            <a:schemeClr val="accent3">
              <a:lumMod val="50000"/>
            </a:schemeClr>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33</xdr:col>
      <xdr:colOff>142873</xdr:colOff>
      <xdr:row>15</xdr:row>
      <xdr:rowOff>1</xdr:rowOff>
    </xdr:from>
    <xdr:to>
      <xdr:col>36</xdr:col>
      <xdr:colOff>47624</xdr:colOff>
      <xdr:row>21</xdr:row>
      <xdr:rowOff>95251</xdr:rowOff>
    </xdr:to>
    <xdr:sp macro="" textlink="">
      <xdr:nvSpPr>
        <xdr:cNvPr id="23" name="吹き出し: 角を丸めた四角形 22">
          <a:extLst>
            <a:ext uri="{FF2B5EF4-FFF2-40B4-BE49-F238E27FC236}">
              <a16:creationId xmlns:a16="http://schemas.microsoft.com/office/drawing/2014/main" id="{00000000-0008-0000-0100-000017000000}"/>
            </a:ext>
          </a:extLst>
        </xdr:cNvPr>
        <xdr:cNvSpPr/>
      </xdr:nvSpPr>
      <xdr:spPr>
        <a:xfrm>
          <a:off x="17859373" y="3076576"/>
          <a:ext cx="1162051" cy="1181100"/>
        </a:xfrm>
        <a:prstGeom prst="wedgeRoundRectCallout">
          <a:avLst>
            <a:gd name="adj1" fmla="val -15352"/>
            <a:gd name="adj2" fmla="val -66667"/>
            <a:gd name="adj3" fmla="val 16667"/>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lIns="36000" tIns="36000" rIns="36000" bIns="36000" rtlCol="0" anchor="t"/>
        <a:lstStyle/>
        <a:p>
          <a:r>
            <a:rPr kumimoji="1" lang="ja-JP" altLang="en-US" sz="1000">
              <a:latin typeface="Meiryo UI" panose="020B0604030504040204" pitchFamily="50" charset="-128"/>
              <a:ea typeface="Meiryo UI" panose="020B0604030504040204" pitchFamily="50" charset="-128"/>
            </a:rPr>
            <a:t>機能毎の</a:t>
          </a:r>
          <a:r>
            <a:rPr kumimoji="1" lang="ja-JP" altLang="ja-JP" sz="1000">
              <a:solidFill>
                <a:schemeClr val="lt1"/>
              </a:solidFill>
              <a:effectLst/>
              <a:latin typeface="Meiryo UI" panose="020B0604030504040204" pitchFamily="50" charset="-128"/>
              <a:ea typeface="Meiryo UI" panose="020B0604030504040204" pitchFamily="50" charset="-128"/>
              <a:cs typeface="+mn-cs"/>
            </a:rPr>
            <a:t>進捗</a:t>
          </a:r>
          <a:r>
            <a:rPr kumimoji="1" lang="ja-JP" altLang="en-US" sz="1000">
              <a:solidFill>
                <a:schemeClr val="lt1"/>
              </a:solidFill>
              <a:effectLst/>
              <a:latin typeface="Meiryo UI" panose="020B0604030504040204" pitchFamily="50" charset="-128"/>
              <a:ea typeface="Meiryo UI" panose="020B0604030504040204" pitchFamily="50" charset="-128"/>
              <a:cs typeface="+mn-cs"/>
            </a:rPr>
            <a:t>率</a:t>
          </a:r>
          <a:r>
            <a:rPr kumimoji="1" lang="ja-JP" altLang="ja-JP" sz="1000">
              <a:solidFill>
                <a:schemeClr val="lt1"/>
              </a:solidFill>
              <a:effectLst/>
              <a:latin typeface="Meiryo UI" panose="020B0604030504040204" pitchFamily="50" charset="-128"/>
              <a:ea typeface="Meiryo UI" panose="020B0604030504040204" pitchFamily="50" charset="-128"/>
              <a:cs typeface="+mn-cs"/>
            </a:rPr>
            <a:t>を</a:t>
          </a:r>
          <a:r>
            <a:rPr kumimoji="1" lang="en-US" altLang="ja-JP" sz="1000">
              <a:solidFill>
                <a:schemeClr val="lt1"/>
              </a:solidFill>
              <a:effectLst/>
              <a:latin typeface="Meiryo UI" panose="020B0604030504040204" pitchFamily="50" charset="-128"/>
              <a:ea typeface="Meiryo UI" panose="020B0604030504040204" pitchFamily="50" charset="-128"/>
              <a:cs typeface="+mn-cs"/>
            </a:rPr>
            <a:t>0</a:t>
          </a:r>
          <a:r>
            <a:rPr kumimoji="1" lang="ja-JP" altLang="ja-JP" sz="1000">
              <a:solidFill>
                <a:schemeClr val="lt1"/>
              </a:solidFill>
              <a:effectLst/>
              <a:latin typeface="Meiryo UI" panose="020B0604030504040204" pitchFamily="50" charset="-128"/>
              <a:ea typeface="Meiryo UI" panose="020B0604030504040204" pitchFamily="50" charset="-128"/>
              <a:cs typeface="+mn-cs"/>
            </a:rPr>
            <a:t>～</a:t>
          </a:r>
          <a:r>
            <a:rPr kumimoji="1" lang="en-US" altLang="ja-JP" sz="1000">
              <a:solidFill>
                <a:schemeClr val="lt1"/>
              </a:solidFill>
              <a:effectLst/>
              <a:latin typeface="Meiryo UI" panose="020B0604030504040204" pitchFamily="50" charset="-128"/>
              <a:ea typeface="Meiryo UI" panose="020B0604030504040204" pitchFamily="50" charset="-128"/>
              <a:cs typeface="+mn-cs"/>
            </a:rPr>
            <a:t>100</a:t>
          </a:r>
          <a:r>
            <a:rPr kumimoji="1" lang="ja-JP" altLang="ja-JP" sz="1000">
              <a:solidFill>
                <a:schemeClr val="lt1"/>
              </a:solidFill>
              <a:effectLst/>
              <a:latin typeface="Meiryo UI" panose="020B0604030504040204" pitchFamily="50" charset="-128"/>
              <a:ea typeface="Meiryo UI" panose="020B0604030504040204" pitchFamily="50" charset="-128"/>
              <a:cs typeface="+mn-cs"/>
            </a:rPr>
            <a:t>で設定</a:t>
          </a:r>
          <a:endParaRPr lang="ja-JP" altLang="ja-JP" sz="1000">
            <a:effectLst/>
            <a:latin typeface="Meiryo UI" panose="020B0604030504040204" pitchFamily="50" charset="-128"/>
            <a:ea typeface="Meiryo UI" panose="020B0604030504040204" pitchFamily="50" charset="-128"/>
          </a:endParaRPr>
        </a:p>
        <a:p>
          <a:r>
            <a:rPr kumimoji="1" lang="ja-JP" altLang="en-US" sz="1000">
              <a:solidFill>
                <a:schemeClr val="lt1"/>
              </a:solidFill>
              <a:effectLst/>
              <a:latin typeface="Meiryo UI" panose="020B0604030504040204" pitchFamily="50" charset="-128"/>
              <a:ea typeface="Meiryo UI" panose="020B0604030504040204" pitchFamily="50" charset="-128"/>
              <a:cs typeface="+mn-cs"/>
            </a:rPr>
            <a:t>未入力は０とみなします</a:t>
          </a:r>
          <a:endParaRPr kumimoji="1" lang="ja-JP" altLang="en-US" sz="1000">
            <a:latin typeface="Meiryo UI" panose="020B0604030504040204" pitchFamily="50" charset="-128"/>
            <a:ea typeface="Meiryo UI" panose="020B0604030504040204" pitchFamily="50" charset="-128"/>
          </a:endParaRPr>
        </a:p>
      </xdr:txBody>
    </xdr:sp>
    <xdr:clientData/>
  </xdr:twoCellAnchor>
  <xdr:twoCellAnchor>
    <xdr:from>
      <xdr:col>35</xdr:col>
      <xdr:colOff>278343</xdr:colOff>
      <xdr:row>19</xdr:row>
      <xdr:rowOff>98426</xdr:rowOff>
    </xdr:from>
    <xdr:to>
      <xdr:col>36</xdr:col>
      <xdr:colOff>790575</xdr:colOff>
      <xdr:row>24</xdr:row>
      <xdr:rowOff>40219</xdr:rowOff>
    </xdr:to>
    <xdr:sp macro="" textlink="">
      <xdr:nvSpPr>
        <xdr:cNvPr id="24" name="吹き出し: 角を丸めた四角形 23">
          <a:extLst>
            <a:ext uri="{FF2B5EF4-FFF2-40B4-BE49-F238E27FC236}">
              <a16:creationId xmlns:a16="http://schemas.microsoft.com/office/drawing/2014/main" id="{00000000-0008-0000-0100-000018000000}"/>
            </a:ext>
          </a:extLst>
        </xdr:cNvPr>
        <xdr:cNvSpPr/>
      </xdr:nvSpPr>
      <xdr:spPr>
        <a:xfrm>
          <a:off x="18709218" y="3898901"/>
          <a:ext cx="1055157" cy="865718"/>
        </a:xfrm>
        <a:prstGeom prst="wedgeRoundRectCallout">
          <a:avLst>
            <a:gd name="adj1" fmla="val -63597"/>
            <a:gd name="adj2" fmla="val -23663"/>
            <a:gd name="adj3" fmla="val 16667"/>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lIns="36000" tIns="36000" rIns="36000" bIns="36000" rtlCol="0" anchor="t"/>
        <a:lstStyle/>
        <a:p>
          <a:pPr algn="l"/>
          <a:r>
            <a:rPr kumimoji="1" lang="ja-JP" altLang="en-US" sz="1000">
              <a:latin typeface="Meiryo UI" panose="020B0604030504040204" pitchFamily="50" charset="-128"/>
              <a:ea typeface="Meiryo UI" panose="020B0604030504040204" pitchFamily="50" charset="-128"/>
            </a:rPr>
            <a:t>工数</a:t>
          </a:r>
          <a:r>
            <a:rPr kumimoji="1" lang="en-US" altLang="ja-JP" sz="1000">
              <a:latin typeface="Meiryo UI" panose="020B0604030504040204" pitchFamily="50" charset="-128"/>
              <a:ea typeface="Meiryo UI" panose="020B0604030504040204" pitchFamily="50" charset="-128"/>
            </a:rPr>
            <a:t>×</a:t>
          </a:r>
          <a:r>
            <a:rPr kumimoji="1" lang="ja-JP" altLang="en-US" sz="1000">
              <a:latin typeface="Meiryo UI" panose="020B0604030504040204" pitchFamily="50" charset="-128"/>
              <a:ea typeface="Meiryo UI" panose="020B0604030504040204" pitchFamily="50" charset="-128"/>
            </a:rPr>
            <a:t>進捗率で実績工数として表示されます</a:t>
          </a:r>
        </a:p>
      </xdr:txBody>
    </xdr:sp>
    <xdr:clientData/>
  </xdr:twoCellAnchor>
  <xdr:twoCellAnchor>
    <xdr:from>
      <xdr:col>31</xdr:col>
      <xdr:colOff>76201</xdr:colOff>
      <xdr:row>8</xdr:row>
      <xdr:rowOff>19051</xdr:rowOff>
    </xdr:from>
    <xdr:to>
      <xdr:col>31</xdr:col>
      <xdr:colOff>523875</xdr:colOff>
      <xdr:row>14</xdr:row>
      <xdr:rowOff>28576</xdr:rowOff>
    </xdr:to>
    <xdr:sp macro="" textlink="">
      <xdr:nvSpPr>
        <xdr:cNvPr id="25" name="四角形: 角を丸くする 24">
          <a:extLst>
            <a:ext uri="{FF2B5EF4-FFF2-40B4-BE49-F238E27FC236}">
              <a16:creationId xmlns:a16="http://schemas.microsoft.com/office/drawing/2014/main" id="{00000000-0008-0000-0100-000019000000}"/>
            </a:ext>
          </a:extLst>
        </xdr:cNvPr>
        <xdr:cNvSpPr/>
      </xdr:nvSpPr>
      <xdr:spPr>
        <a:xfrm>
          <a:off x="16354426" y="1695451"/>
          <a:ext cx="447674" cy="1228725"/>
        </a:xfrm>
        <a:prstGeom prst="roundRect">
          <a:avLst/>
        </a:prstGeom>
        <a:noFill/>
        <a:ln w="2222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266700</xdr:colOff>
      <xdr:row>14</xdr:row>
      <xdr:rowOff>171451</xdr:rowOff>
    </xdr:from>
    <xdr:to>
      <xdr:col>31</xdr:col>
      <xdr:colOff>381000</xdr:colOff>
      <xdr:row>20</xdr:row>
      <xdr:rowOff>133350</xdr:rowOff>
    </xdr:to>
    <xdr:sp macro="" textlink="">
      <xdr:nvSpPr>
        <xdr:cNvPr id="26" name="吹き出し: 角を丸めた四角形 25">
          <a:extLst>
            <a:ext uri="{FF2B5EF4-FFF2-40B4-BE49-F238E27FC236}">
              <a16:creationId xmlns:a16="http://schemas.microsoft.com/office/drawing/2014/main" id="{00000000-0008-0000-0100-00001A000000}"/>
            </a:ext>
          </a:extLst>
        </xdr:cNvPr>
        <xdr:cNvSpPr/>
      </xdr:nvSpPr>
      <xdr:spPr>
        <a:xfrm>
          <a:off x="15497175" y="3067051"/>
          <a:ext cx="1162050" cy="1047749"/>
        </a:xfrm>
        <a:prstGeom prst="wedgeRoundRectCallout">
          <a:avLst>
            <a:gd name="adj1" fmla="val 33926"/>
            <a:gd name="adj2" fmla="val -64161"/>
            <a:gd name="adj3" fmla="val 16667"/>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lIns="36000" tIns="36000" rIns="36000" bIns="36000" rtlCol="0" anchor="t"/>
        <a:lstStyle/>
        <a:p>
          <a:pPr algn="l"/>
          <a:r>
            <a:rPr kumimoji="1" lang="ja-JP" altLang="en-US" sz="1000">
              <a:latin typeface="Meiryo UI" panose="020B0604030504040204" pitchFamily="50" charset="-128"/>
              <a:ea typeface="Meiryo UI" panose="020B0604030504040204" pitchFamily="50" charset="-128"/>
            </a:rPr>
            <a:t>集計値が作成済み</a:t>
          </a:r>
          <a:r>
            <a:rPr kumimoji="1" lang="en-US" altLang="ja-JP" sz="1000">
              <a:latin typeface="Meiryo UI" panose="020B0604030504040204" pitchFamily="50" charset="-128"/>
              <a:ea typeface="Meiryo UI" panose="020B0604030504040204" pitchFamily="50" charset="-128"/>
            </a:rPr>
            <a:t>PCL</a:t>
          </a:r>
          <a:r>
            <a:rPr kumimoji="1" lang="ja-JP" altLang="en-US" sz="1000">
              <a:latin typeface="Meiryo UI" panose="020B0604030504040204" pitchFamily="50" charset="-128"/>
              <a:ea typeface="Meiryo UI" panose="020B0604030504040204" pitchFamily="50" charset="-128"/>
            </a:rPr>
            <a:t>件数として表示されます</a:t>
          </a:r>
        </a:p>
      </xdr:txBody>
    </xdr:sp>
    <xdr:clientData/>
  </xdr:twoCellAnchor>
  <xdr:twoCellAnchor>
    <xdr:from>
      <xdr:col>32</xdr:col>
      <xdr:colOff>38100</xdr:colOff>
      <xdr:row>1</xdr:row>
      <xdr:rowOff>152400</xdr:rowOff>
    </xdr:from>
    <xdr:to>
      <xdr:col>34</xdr:col>
      <xdr:colOff>457200</xdr:colOff>
      <xdr:row>3</xdr:row>
      <xdr:rowOff>228600</xdr:rowOff>
    </xdr:to>
    <xdr:sp macro="" textlink="">
      <xdr:nvSpPr>
        <xdr:cNvPr id="27" name="吹き出し: 角を丸めた四角形 26">
          <a:extLst>
            <a:ext uri="{FF2B5EF4-FFF2-40B4-BE49-F238E27FC236}">
              <a16:creationId xmlns:a16="http://schemas.microsoft.com/office/drawing/2014/main" id="{00000000-0008-0000-0100-00001B000000}"/>
            </a:ext>
          </a:extLst>
        </xdr:cNvPr>
        <xdr:cNvSpPr/>
      </xdr:nvSpPr>
      <xdr:spPr>
        <a:xfrm>
          <a:off x="16897350" y="152400"/>
          <a:ext cx="1447800" cy="571500"/>
        </a:xfrm>
        <a:prstGeom prst="wedgeRoundRectCallout">
          <a:avLst>
            <a:gd name="adj1" fmla="val -96839"/>
            <a:gd name="adj2" fmla="val 5887"/>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t"/>
        <a:lstStyle/>
        <a:p>
          <a:pPr algn="l"/>
          <a:r>
            <a:rPr kumimoji="1" lang="en-US" altLang="ja-JP" sz="1000">
              <a:latin typeface="Meiryo UI" panose="020B0604030504040204" pitchFamily="50" charset="-128"/>
              <a:ea typeface="Meiryo UI" panose="020B0604030504040204" pitchFamily="50" charset="-128"/>
            </a:rPr>
            <a:t>PCL</a:t>
          </a:r>
          <a:r>
            <a:rPr kumimoji="1" lang="ja-JP" altLang="en-US" sz="1000">
              <a:latin typeface="Meiryo UI" panose="020B0604030504040204" pitchFamily="50" charset="-128"/>
              <a:ea typeface="Meiryo UI" panose="020B0604030504040204" pitchFamily="50" charset="-128"/>
            </a:rPr>
            <a:t>密度</a:t>
          </a:r>
          <a:r>
            <a:rPr kumimoji="1" lang="en-US" altLang="ja-JP" sz="1000">
              <a:latin typeface="Meiryo UI" panose="020B0604030504040204" pitchFamily="50" charset="-128"/>
              <a:ea typeface="Meiryo UI" panose="020B0604030504040204" pitchFamily="50" charset="-128"/>
            </a:rPr>
            <a:t>(</a:t>
          </a:r>
          <a:r>
            <a:rPr kumimoji="1" lang="ja-JP" altLang="en-US" sz="1000">
              <a:latin typeface="Meiryo UI" panose="020B0604030504040204" pitchFamily="50" charset="-128"/>
              <a:ea typeface="Meiryo UI" panose="020B0604030504040204" pitchFamily="50" charset="-128"/>
            </a:rPr>
            <a:t>件</a:t>
          </a:r>
          <a:r>
            <a:rPr kumimoji="1" lang="en-US" altLang="ja-JP" sz="1000">
              <a:latin typeface="Meiryo UI" panose="020B0604030504040204" pitchFamily="50" charset="-128"/>
              <a:ea typeface="Meiryo UI" panose="020B0604030504040204" pitchFamily="50" charset="-128"/>
            </a:rPr>
            <a:t>/KS)</a:t>
          </a:r>
          <a:r>
            <a:rPr kumimoji="1" lang="ja-JP" altLang="en-US" sz="1000">
              <a:latin typeface="Meiryo UI" panose="020B0604030504040204" pitchFamily="50" charset="-128"/>
              <a:ea typeface="Meiryo UI" panose="020B0604030504040204" pitchFamily="50" charset="-128"/>
            </a:rPr>
            <a:t>の下限値・上限値を設定します</a:t>
          </a:r>
        </a:p>
      </xdr:txBody>
    </xdr:sp>
    <xdr:clientData/>
  </xdr:twoCellAnchor>
  <xdr:twoCellAnchor>
    <xdr:from>
      <xdr:col>29</xdr:col>
      <xdr:colOff>19051</xdr:colOff>
      <xdr:row>2</xdr:row>
      <xdr:rowOff>0</xdr:rowOff>
    </xdr:from>
    <xdr:to>
      <xdr:col>31</xdr:col>
      <xdr:colOff>9524</xdr:colOff>
      <xdr:row>3</xdr:row>
      <xdr:rowOff>47625</xdr:rowOff>
    </xdr:to>
    <xdr:sp macro="" textlink="">
      <xdr:nvSpPr>
        <xdr:cNvPr id="28" name="四角形: 角を丸くする 27">
          <a:extLst>
            <a:ext uri="{FF2B5EF4-FFF2-40B4-BE49-F238E27FC236}">
              <a16:creationId xmlns:a16="http://schemas.microsoft.com/office/drawing/2014/main" id="{00000000-0008-0000-0100-00001C000000}"/>
            </a:ext>
          </a:extLst>
        </xdr:cNvPr>
        <xdr:cNvSpPr/>
      </xdr:nvSpPr>
      <xdr:spPr>
        <a:xfrm>
          <a:off x="15249526" y="247650"/>
          <a:ext cx="1038223" cy="295275"/>
        </a:xfrm>
        <a:prstGeom prst="roundRect">
          <a:avLst>
            <a:gd name="adj" fmla="val 3764"/>
          </a:avLst>
        </a:prstGeom>
        <a:noFill/>
        <a:ln w="2222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29</xdr:col>
      <xdr:colOff>9525</xdr:colOff>
      <xdr:row>24</xdr:row>
      <xdr:rowOff>28576</xdr:rowOff>
    </xdr:from>
    <xdr:to>
      <xdr:col>30</xdr:col>
      <xdr:colOff>514349</xdr:colOff>
      <xdr:row>25</xdr:row>
      <xdr:rowOff>66678</xdr:rowOff>
    </xdr:to>
    <xdr:sp macro="" textlink="">
      <xdr:nvSpPr>
        <xdr:cNvPr id="29" name="右中かっこ 28">
          <a:extLst>
            <a:ext uri="{FF2B5EF4-FFF2-40B4-BE49-F238E27FC236}">
              <a16:creationId xmlns:a16="http://schemas.microsoft.com/office/drawing/2014/main" id="{00000000-0008-0000-0100-00001D000000}"/>
            </a:ext>
          </a:extLst>
        </xdr:cNvPr>
        <xdr:cNvSpPr/>
      </xdr:nvSpPr>
      <xdr:spPr>
        <a:xfrm rot="5400000">
          <a:off x="15640049" y="4352927"/>
          <a:ext cx="228602" cy="1028699"/>
        </a:xfrm>
        <a:prstGeom prst="rightBrace">
          <a:avLst/>
        </a:prstGeom>
        <a:ln w="22225">
          <a:solidFill>
            <a:srgbClr val="FF0000"/>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32</xdr:col>
      <xdr:colOff>19051</xdr:colOff>
      <xdr:row>8</xdr:row>
      <xdr:rowOff>9526</xdr:rowOff>
    </xdr:from>
    <xdr:to>
      <xdr:col>32</xdr:col>
      <xdr:colOff>847725</xdr:colOff>
      <xdr:row>14</xdr:row>
      <xdr:rowOff>38100</xdr:rowOff>
    </xdr:to>
    <xdr:sp macro="" textlink="">
      <xdr:nvSpPr>
        <xdr:cNvPr id="30" name="四角形: 角を丸くする 29">
          <a:extLst>
            <a:ext uri="{FF2B5EF4-FFF2-40B4-BE49-F238E27FC236}">
              <a16:creationId xmlns:a16="http://schemas.microsoft.com/office/drawing/2014/main" id="{00000000-0008-0000-0100-00001E000000}"/>
            </a:ext>
          </a:extLst>
        </xdr:cNvPr>
        <xdr:cNvSpPr/>
      </xdr:nvSpPr>
      <xdr:spPr>
        <a:xfrm>
          <a:off x="16878301" y="1685926"/>
          <a:ext cx="828674" cy="1247774"/>
        </a:xfrm>
        <a:prstGeom prst="roundRect">
          <a:avLst>
            <a:gd name="adj" fmla="val 9770"/>
          </a:avLst>
        </a:prstGeom>
        <a:noFill/>
        <a:ln w="28575">
          <a:solidFill>
            <a:srgbClr val="0070C0"/>
          </a:solidFill>
          <a:prstDash val="dash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31</xdr:col>
      <xdr:colOff>476251</xdr:colOff>
      <xdr:row>24</xdr:row>
      <xdr:rowOff>152401</xdr:rowOff>
    </xdr:from>
    <xdr:to>
      <xdr:col>35</xdr:col>
      <xdr:colOff>114300</xdr:colOff>
      <xdr:row>31</xdr:row>
      <xdr:rowOff>123825</xdr:rowOff>
    </xdr:to>
    <xdr:sp macro="" textlink="">
      <xdr:nvSpPr>
        <xdr:cNvPr id="31" name="四角形: 角を丸くする 30">
          <a:extLst>
            <a:ext uri="{FF2B5EF4-FFF2-40B4-BE49-F238E27FC236}">
              <a16:creationId xmlns:a16="http://schemas.microsoft.com/office/drawing/2014/main" id="{00000000-0008-0000-0100-00001F000000}"/>
            </a:ext>
          </a:extLst>
        </xdr:cNvPr>
        <xdr:cNvSpPr/>
      </xdr:nvSpPr>
      <xdr:spPr>
        <a:xfrm>
          <a:off x="16754476" y="4876801"/>
          <a:ext cx="1790699" cy="1247774"/>
        </a:xfrm>
        <a:prstGeom prst="roundRect">
          <a:avLst>
            <a:gd name="adj" fmla="val 9770"/>
          </a:avLst>
        </a:prstGeom>
        <a:noFill/>
        <a:ln w="28575">
          <a:solidFill>
            <a:srgbClr val="0070C0"/>
          </a:solidFill>
          <a:prstDash val="dash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23</xdr:col>
      <xdr:colOff>409574</xdr:colOff>
      <xdr:row>15</xdr:row>
      <xdr:rowOff>0</xdr:rowOff>
    </xdr:from>
    <xdr:to>
      <xdr:col>26</xdr:col>
      <xdr:colOff>238125</xdr:colOff>
      <xdr:row>20</xdr:row>
      <xdr:rowOff>180974</xdr:rowOff>
    </xdr:to>
    <xdr:sp macro="" textlink="">
      <xdr:nvSpPr>
        <xdr:cNvPr id="32" name="吹き出し: 角を丸めた四角形 31">
          <a:extLst>
            <a:ext uri="{FF2B5EF4-FFF2-40B4-BE49-F238E27FC236}">
              <a16:creationId xmlns:a16="http://schemas.microsoft.com/office/drawing/2014/main" id="{00000000-0008-0000-0100-000020000000}"/>
            </a:ext>
          </a:extLst>
        </xdr:cNvPr>
        <xdr:cNvSpPr/>
      </xdr:nvSpPr>
      <xdr:spPr>
        <a:xfrm>
          <a:off x="11982449" y="3076575"/>
          <a:ext cx="1571626" cy="1085849"/>
        </a:xfrm>
        <a:prstGeom prst="wedgeRoundRectCallout">
          <a:avLst>
            <a:gd name="adj1" fmla="val -29270"/>
            <a:gd name="adj2" fmla="val -68723"/>
            <a:gd name="adj3" fmla="val 16667"/>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lIns="36000" tIns="36000" rIns="36000" bIns="36000" rtlCol="0" anchor="t"/>
        <a:lstStyle/>
        <a:p>
          <a:pPr algn="l"/>
          <a:r>
            <a:rPr kumimoji="1" lang="ja-JP" altLang="en-US" sz="1000">
              <a:latin typeface="Meiryo UI" panose="020B0604030504040204" pitchFamily="50" charset="-128"/>
              <a:ea typeface="Meiryo UI" panose="020B0604030504040204" pitchFamily="50" charset="-128"/>
            </a:rPr>
            <a:t>取り込み対象の行に対して予定日・実績日を入力</a:t>
          </a:r>
          <a:endParaRPr kumimoji="1" lang="en-US" altLang="ja-JP" sz="1000">
            <a:latin typeface="Meiryo UI" panose="020B0604030504040204" pitchFamily="50" charset="-128"/>
            <a:ea typeface="Meiryo UI" panose="020B0604030504040204" pitchFamily="50" charset="-128"/>
          </a:endParaRPr>
        </a:p>
        <a:p>
          <a:pPr algn="l"/>
          <a:r>
            <a:rPr kumimoji="1" lang="ja-JP" altLang="en-US" sz="1000">
              <a:latin typeface="Meiryo UI" panose="020B0604030504040204" pitchFamily="50" charset="-128"/>
              <a:ea typeface="Meiryo UI" panose="020B0604030504040204" pitchFamily="50" charset="-128"/>
            </a:rPr>
            <a:t>予定日は必須</a:t>
          </a:r>
          <a:endParaRPr kumimoji="1" lang="en-US" altLang="ja-JP" sz="1000">
            <a:latin typeface="Meiryo UI" panose="020B0604030504040204" pitchFamily="50" charset="-128"/>
            <a:ea typeface="Meiryo UI" panose="020B0604030504040204" pitchFamily="50" charset="-128"/>
          </a:endParaRPr>
        </a:p>
        <a:p>
          <a:pPr algn="l"/>
          <a:r>
            <a:rPr kumimoji="1" lang="ja-JP" altLang="en-US" sz="1000">
              <a:latin typeface="Meiryo UI" panose="020B0604030504040204" pitchFamily="50" charset="-128"/>
              <a:ea typeface="Meiryo UI" panose="020B0604030504040204" pitchFamily="50" charset="-128"/>
            </a:rPr>
            <a:t>実績は未入力も可</a:t>
          </a:r>
        </a:p>
      </xdr:txBody>
    </xdr:sp>
    <xdr:clientData/>
  </xdr:twoCellAnchor>
  <xdr:twoCellAnchor>
    <xdr:from>
      <xdr:col>35</xdr:col>
      <xdr:colOff>47625</xdr:colOff>
      <xdr:row>30</xdr:row>
      <xdr:rowOff>9526</xdr:rowOff>
    </xdr:from>
    <xdr:to>
      <xdr:col>36</xdr:col>
      <xdr:colOff>619125</xdr:colOff>
      <xdr:row>34</xdr:row>
      <xdr:rowOff>152402</xdr:rowOff>
    </xdr:to>
    <xdr:sp macro="" textlink="">
      <xdr:nvSpPr>
        <xdr:cNvPr id="33" name="吹き出し: 角を丸めた四角形 32">
          <a:extLst>
            <a:ext uri="{FF2B5EF4-FFF2-40B4-BE49-F238E27FC236}">
              <a16:creationId xmlns:a16="http://schemas.microsoft.com/office/drawing/2014/main" id="{00000000-0008-0000-0100-000021000000}"/>
            </a:ext>
          </a:extLst>
        </xdr:cNvPr>
        <xdr:cNvSpPr/>
      </xdr:nvSpPr>
      <xdr:spPr>
        <a:xfrm>
          <a:off x="18478500" y="5829301"/>
          <a:ext cx="1114425" cy="866776"/>
        </a:xfrm>
        <a:prstGeom prst="wedgeRoundRectCallout">
          <a:avLst>
            <a:gd name="adj1" fmla="val -44323"/>
            <a:gd name="adj2" fmla="val -76416"/>
            <a:gd name="adj3" fmla="val 16667"/>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lIns="36000" tIns="36000" rIns="36000" bIns="36000" rtlCol="0" anchor="t"/>
        <a:lstStyle/>
        <a:p>
          <a:pPr algn="l"/>
          <a:r>
            <a:rPr kumimoji="1" lang="ja-JP" altLang="en-US" sz="1000">
              <a:latin typeface="Meiryo UI" panose="020B0604030504040204" pitchFamily="50" charset="-128"/>
              <a:ea typeface="Meiryo UI" panose="020B0604030504040204" pitchFamily="50" charset="-128"/>
            </a:rPr>
            <a:t>現在進捗の選択リストを任意設定できます</a:t>
          </a:r>
        </a:p>
      </xdr:txBody>
    </xdr:sp>
    <xdr:clientData/>
  </xdr:twoCellAnchor>
  <xdr:twoCellAnchor>
    <xdr:from>
      <xdr:col>31</xdr:col>
      <xdr:colOff>495299</xdr:colOff>
      <xdr:row>14</xdr:row>
      <xdr:rowOff>152401</xdr:rowOff>
    </xdr:from>
    <xdr:to>
      <xdr:col>33</xdr:col>
      <xdr:colOff>28575</xdr:colOff>
      <xdr:row>21</xdr:row>
      <xdr:rowOff>66676</xdr:rowOff>
    </xdr:to>
    <xdr:sp macro="" textlink="">
      <xdr:nvSpPr>
        <xdr:cNvPr id="34" name="吹き出し: 角を丸めた四角形 33">
          <a:extLst>
            <a:ext uri="{FF2B5EF4-FFF2-40B4-BE49-F238E27FC236}">
              <a16:creationId xmlns:a16="http://schemas.microsoft.com/office/drawing/2014/main" id="{00000000-0008-0000-0100-000022000000}"/>
            </a:ext>
          </a:extLst>
        </xdr:cNvPr>
        <xdr:cNvSpPr/>
      </xdr:nvSpPr>
      <xdr:spPr>
        <a:xfrm>
          <a:off x="16773524" y="3048001"/>
          <a:ext cx="971551" cy="1181100"/>
        </a:xfrm>
        <a:prstGeom prst="wedgeRoundRectCallout">
          <a:avLst>
            <a:gd name="adj1" fmla="val -13391"/>
            <a:gd name="adj2" fmla="val -62635"/>
            <a:gd name="adj3" fmla="val 16667"/>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lIns="36000" tIns="36000" rIns="36000" bIns="36000" rtlCol="0" anchor="t"/>
        <a:lstStyle/>
        <a:p>
          <a:r>
            <a:rPr kumimoji="1" lang="ja-JP" altLang="en-US" sz="1000">
              <a:latin typeface="Meiryo UI" panose="020B0604030504040204" pitchFamily="50" charset="-128"/>
              <a:ea typeface="Meiryo UI" panose="020B0604030504040204" pitchFamily="50" charset="-128"/>
            </a:rPr>
            <a:t>リスト選択すると下記の設定値の進捗率が自動設定されます</a:t>
          </a:r>
        </a:p>
      </xdr:txBody>
    </xdr:sp>
    <xdr:clientData/>
  </xdr:twoCellAnchor>
  <xdr:twoCellAnchor>
    <xdr:from>
      <xdr:col>35</xdr:col>
      <xdr:colOff>66676</xdr:colOff>
      <xdr:row>8</xdr:row>
      <xdr:rowOff>1</xdr:rowOff>
    </xdr:from>
    <xdr:to>
      <xdr:col>35</xdr:col>
      <xdr:colOff>514350</xdr:colOff>
      <xdr:row>14</xdr:row>
      <xdr:rowOff>9526</xdr:rowOff>
    </xdr:to>
    <xdr:sp macro="" textlink="">
      <xdr:nvSpPr>
        <xdr:cNvPr id="35" name="四角形: 角を丸くする 34">
          <a:extLst>
            <a:ext uri="{FF2B5EF4-FFF2-40B4-BE49-F238E27FC236}">
              <a16:creationId xmlns:a16="http://schemas.microsoft.com/office/drawing/2014/main" id="{00000000-0008-0000-0100-000023000000}"/>
            </a:ext>
          </a:extLst>
        </xdr:cNvPr>
        <xdr:cNvSpPr/>
      </xdr:nvSpPr>
      <xdr:spPr>
        <a:xfrm>
          <a:off x="18497551" y="1676401"/>
          <a:ext cx="447674" cy="1228725"/>
        </a:xfrm>
        <a:prstGeom prst="roundRect">
          <a:avLst/>
        </a:prstGeom>
        <a:noFill/>
        <a:ln w="2222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35</xdr:col>
      <xdr:colOff>380999</xdr:colOff>
      <xdr:row>1</xdr:row>
      <xdr:rowOff>209551</xdr:rowOff>
    </xdr:from>
    <xdr:to>
      <xdr:col>37</xdr:col>
      <xdr:colOff>57150</xdr:colOff>
      <xdr:row>5</xdr:row>
      <xdr:rowOff>85725</xdr:rowOff>
    </xdr:to>
    <xdr:sp macro="" textlink="">
      <xdr:nvSpPr>
        <xdr:cNvPr id="36" name="吹き出し: 角を丸めた四角形 35">
          <a:extLst>
            <a:ext uri="{FF2B5EF4-FFF2-40B4-BE49-F238E27FC236}">
              <a16:creationId xmlns:a16="http://schemas.microsoft.com/office/drawing/2014/main" id="{00000000-0008-0000-0100-000024000000}"/>
            </a:ext>
          </a:extLst>
        </xdr:cNvPr>
        <xdr:cNvSpPr/>
      </xdr:nvSpPr>
      <xdr:spPr>
        <a:xfrm>
          <a:off x="18811874" y="209551"/>
          <a:ext cx="1143001" cy="800099"/>
        </a:xfrm>
        <a:prstGeom prst="wedgeRoundRectCallout">
          <a:avLst>
            <a:gd name="adj1" fmla="val -47558"/>
            <a:gd name="adj2" fmla="val 134984"/>
            <a:gd name="adj3" fmla="val 16667"/>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lIns="36000" tIns="36000" rIns="36000" bIns="36000" rtlCol="0" anchor="t"/>
        <a:lstStyle/>
        <a:p>
          <a:r>
            <a:rPr kumimoji="1" lang="ja-JP" altLang="en-US" sz="1000">
              <a:latin typeface="Meiryo UI" panose="020B0604030504040204" pitchFamily="50" charset="-128"/>
              <a:ea typeface="Meiryo UI" panose="020B0604030504040204" pitchFamily="50" charset="-128"/>
            </a:rPr>
            <a:t>進捗率が</a:t>
          </a:r>
          <a:r>
            <a:rPr kumimoji="1" lang="en-US" altLang="ja-JP" sz="1000">
              <a:latin typeface="Meiryo UI" panose="020B0604030504040204" pitchFamily="50" charset="-128"/>
              <a:ea typeface="Meiryo UI" panose="020B0604030504040204" pitchFamily="50" charset="-128"/>
            </a:rPr>
            <a:t>100%</a:t>
          </a:r>
          <a:r>
            <a:rPr kumimoji="1" lang="ja-JP" altLang="en-US" sz="1000">
              <a:latin typeface="Meiryo UI" panose="020B0604030504040204" pitchFamily="50" charset="-128"/>
              <a:ea typeface="Meiryo UI" panose="020B0604030504040204" pitchFamily="50" charset="-128"/>
            </a:rPr>
            <a:t>の場合、</a:t>
          </a:r>
          <a:r>
            <a:rPr kumimoji="1" lang="en-US" altLang="ja-JP" sz="1000">
              <a:latin typeface="Meiryo UI" panose="020B0604030504040204" pitchFamily="50" charset="-128"/>
              <a:ea typeface="Meiryo UI" panose="020B0604030504040204" pitchFamily="50" charset="-128"/>
            </a:rPr>
            <a:t>PCL</a:t>
          </a:r>
          <a:r>
            <a:rPr kumimoji="1" lang="ja-JP" altLang="en-US" sz="1000">
              <a:latin typeface="Meiryo UI" panose="020B0604030504040204" pitchFamily="50" charset="-128"/>
              <a:ea typeface="Meiryo UI" panose="020B0604030504040204" pitchFamily="50" charset="-128"/>
            </a:rPr>
            <a:t>の評価が表示されます</a:t>
          </a:r>
        </a:p>
      </xdr:txBody>
    </xdr:sp>
    <xdr:clientData/>
  </xdr:twoCellAnchor>
  <xdr:twoCellAnchor>
    <xdr:from>
      <xdr:col>37</xdr:col>
      <xdr:colOff>161925</xdr:colOff>
      <xdr:row>1</xdr:row>
      <xdr:rowOff>95251</xdr:rowOff>
    </xdr:from>
    <xdr:to>
      <xdr:col>39</xdr:col>
      <xdr:colOff>0</xdr:colOff>
      <xdr:row>6</xdr:row>
      <xdr:rowOff>19050</xdr:rowOff>
    </xdr:to>
    <xdr:sp macro="" textlink="">
      <xdr:nvSpPr>
        <xdr:cNvPr id="37" name="吹き出し: 角を丸めた四角形 36">
          <a:extLst>
            <a:ext uri="{FF2B5EF4-FFF2-40B4-BE49-F238E27FC236}">
              <a16:creationId xmlns:a16="http://schemas.microsoft.com/office/drawing/2014/main" id="{00000000-0008-0000-0100-000025000000}"/>
            </a:ext>
          </a:extLst>
        </xdr:cNvPr>
        <xdr:cNvSpPr/>
      </xdr:nvSpPr>
      <xdr:spPr>
        <a:xfrm>
          <a:off x="20059650" y="95251"/>
          <a:ext cx="847725" cy="1047749"/>
        </a:xfrm>
        <a:prstGeom prst="wedgeRoundRectCallout">
          <a:avLst>
            <a:gd name="adj1" fmla="val -75090"/>
            <a:gd name="adj2" fmla="val 18761"/>
            <a:gd name="adj3" fmla="val 16667"/>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lIns="36000" tIns="36000" rIns="36000" bIns="36000" rtlCol="0" anchor="t"/>
        <a:lstStyle/>
        <a:p>
          <a:pPr algn="l"/>
          <a:r>
            <a:rPr kumimoji="1" lang="en-US" altLang="ja-JP" sz="1000">
              <a:latin typeface="Meiryo UI" panose="020B0604030504040204" pitchFamily="50" charset="-128"/>
              <a:ea typeface="Meiryo UI" panose="020B0604030504040204" pitchFamily="50" charset="-128"/>
            </a:rPr>
            <a:t>SLPM</a:t>
          </a:r>
          <a:r>
            <a:rPr kumimoji="1" lang="ja-JP" altLang="en-US" sz="1000">
              <a:latin typeface="Meiryo UI" panose="020B0604030504040204" pitchFamily="50" charset="-128"/>
              <a:ea typeface="Meiryo UI" panose="020B0604030504040204" pitchFamily="50" charset="-128"/>
            </a:rPr>
            <a:t>の品質評価として評価件数を表示します</a:t>
          </a:r>
        </a:p>
      </xdr:txBody>
    </xdr:sp>
    <xdr:clientData/>
  </xdr:twoCellAnchor>
  <xdr:twoCellAnchor>
    <xdr:from>
      <xdr:col>37</xdr:col>
      <xdr:colOff>47625</xdr:colOff>
      <xdr:row>8</xdr:row>
      <xdr:rowOff>28576</xdr:rowOff>
    </xdr:from>
    <xdr:to>
      <xdr:col>38</xdr:col>
      <xdr:colOff>466724</xdr:colOff>
      <xdr:row>14</xdr:row>
      <xdr:rowOff>38101</xdr:rowOff>
    </xdr:to>
    <xdr:sp macro="" textlink="">
      <xdr:nvSpPr>
        <xdr:cNvPr id="38" name="四角形: 角を丸くする 37">
          <a:extLst>
            <a:ext uri="{FF2B5EF4-FFF2-40B4-BE49-F238E27FC236}">
              <a16:creationId xmlns:a16="http://schemas.microsoft.com/office/drawing/2014/main" id="{00000000-0008-0000-0100-000026000000}"/>
            </a:ext>
          </a:extLst>
        </xdr:cNvPr>
        <xdr:cNvSpPr/>
      </xdr:nvSpPr>
      <xdr:spPr>
        <a:xfrm>
          <a:off x="19945350" y="1704976"/>
          <a:ext cx="923924" cy="1228725"/>
        </a:xfrm>
        <a:prstGeom prst="roundRect">
          <a:avLst>
            <a:gd name="adj" fmla="val 6667"/>
          </a:avLst>
        </a:prstGeom>
        <a:noFill/>
        <a:ln w="2222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36</xdr:col>
      <xdr:colOff>714375</xdr:colOff>
      <xdr:row>15</xdr:row>
      <xdr:rowOff>1</xdr:rowOff>
    </xdr:from>
    <xdr:to>
      <xdr:col>38</xdr:col>
      <xdr:colOff>447675</xdr:colOff>
      <xdr:row>19</xdr:row>
      <xdr:rowOff>76200</xdr:rowOff>
    </xdr:to>
    <xdr:sp macro="" textlink="">
      <xdr:nvSpPr>
        <xdr:cNvPr id="39" name="吹き出し: 角を丸めた四角形 38">
          <a:extLst>
            <a:ext uri="{FF2B5EF4-FFF2-40B4-BE49-F238E27FC236}">
              <a16:creationId xmlns:a16="http://schemas.microsoft.com/office/drawing/2014/main" id="{00000000-0008-0000-0100-000027000000}"/>
            </a:ext>
          </a:extLst>
        </xdr:cNvPr>
        <xdr:cNvSpPr/>
      </xdr:nvSpPr>
      <xdr:spPr>
        <a:xfrm>
          <a:off x="19688175" y="3076576"/>
          <a:ext cx="1162050" cy="800099"/>
        </a:xfrm>
        <a:prstGeom prst="wedgeRoundRectCallout">
          <a:avLst>
            <a:gd name="adj1" fmla="val -15254"/>
            <a:gd name="adj2" fmla="val -69334"/>
            <a:gd name="adj3" fmla="val 16667"/>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lIns="36000" tIns="36000" rIns="36000" bIns="36000" rtlCol="0" anchor="t"/>
        <a:lstStyle/>
        <a:p>
          <a:pPr algn="l"/>
          <a:r>
            <a:rPr kumimoji="1" lang="ja-JP" altLang="en-US" sz="1000">
              <a:latin typeface="Meiryo UI" panose="020B0604030504040204" pitchFamily="50" charset="-128"/>
              <a:ea typeface="Meiryo UI" panose="020B0604030504040204" pitchFamily="50" charset="-128"/>
            </a:rPr>
            <a:t>確認を入力すると品質評価から除外して評価します</a:t>
          </a:r>
        </a:p>
      </xdr:txBody>
    </xdr:sp>
    <xdr:clientData/>
  </xdr:twoCellAnchor>
  <xdr:twoCellAnchor>
    <xdr:from>
      <xdr:col>32</xdr:col>
      <xdr:colOff>400050</xdr:colOff>
      <xdr:row>21</xdr:row>
      <xdr:rowOff>66676</xdr:rowOff>
    </xdr:from>
    <xdr:to>
      <xdr:col>32</xdr:col>
      <xdr:colOff>823913</xdr:colOff>
      <xdr:row>24</xdr:row>
      <xdr:rowOff>152401</xdr:rowOff>
    </xdr:to>
    <xdr:cxnSp macro="">
      <xdr:nvCxnSpPr>
        <xdr:cNvPr id="40" name="直線矢印コネクタ 39">
          <a:extLst>
            <a:ext uri="{FF2B5EF4-FFF2-40B4-BE49-F238E27FC236}">
              <a16:creationId xmlns:a16="http://schemas.microsoft.com/office/drawing/2014/main" id="{00000000-0008-0000-0100-000028000000}"/>
            </a:ext>
          </a:extLst>
        </xdr:cNvPr>
        <xdr:cNvCxnSpPr>
          <a:stCxn id="34" idx="2"/>
          <a:endCxn id="31" idx="0"/>
        </xdr:cNvCxnSpPr>
      </xdr:nvCxnSpPr>
      <xdr:spPr>
        <a:xfrm>
          <a:off x="17259300" y="4229101"/>
          <a:ext cx="423863" cy="647700"/>
        </a:xfrm>
        <a:prstGeom prst="straightConnector1">
          <a:avLst/>
        </a:prstGeom>
        <a:ln w="2222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19049</xdr:colOff>
      <xdr:row>1</xdr:row>
      <xdr:rowOff>142875</xdr:rowOff>
    </xdr:from>
    <xdr:to>
      <xdr:col>50</xdr:col>
      <xdr:colOff>438149</xdr:colOff>
      <xdr:row>3</xdr:row>
      <xdr:rowOff>219075</xdr:rowOff>
    </xdr:to>
    <xdr:sp macro="" textlink="">
      <xdr:nvSpPr>
        <xdr:cNvPr id="41" name="吹き出し: 角を丸めた四角形 40">
          <a:extLst>
            <a:ext uri="{FF2B5EF4-FFF2-40B4-BE49-F238E27FC236}">
              <a16:creationId xmlns:a16="http://schemas.microsoft.com/office/drawing/2014/main" id="{00000000-0008-0000-0100-000029000000}"/>
            </a:ext>
          </a:extLst>
        </xdr:cNvPr>
        <xdr:cNvSpPr/>
      </xdr:nvSpPr>
      <xdr:spPr>
        <a:xfrm>
          <a:off x="26193749" y="142875"/>
          <a:ext cx="1447800" cy="571500"/>
        </a:xfrm>
        <a:prstGeom prst="wedgeRoundRectCallout">
          <a:avLst>
            <a:gd name="adj1" fmla="val -96839"/>
            <a:gd name="adj2" fmla="val 5887"/>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t"/>
        <a:lstStyle/>
        <a:p>
          <a:pPr algn="l"/>
          <a:r>
            <a:rPr kumimoji="1" lang="ja-JP" altLang="en-US" sz="1000">
              <a:latin typeface="Meiryo UI" panose="020B0604030504040204" pitchFamily="50" charset="-128"/>
              <a:ea typeface="Meiryo UI" panose="020B0604030504040204" pitchFamily="50" charset="-128"/>
            </a:rPr>
            <a:t>バグ密度</a:t>
          </a:r>
          <a:r>
            <a:rPr kumimoji="1" lang="en-US" altLang="ja-JP" sz="1000">
              <a:latin typeface="Meiryo UI" panose="020B0604030504040204" pitchFamily="50" charset="-128"/>
              <a:ea typeface="Meiryo UI" panose="020B0604030504040204" pitchFamily="50" charset="-128"/>
            </a:rPr>
            <a:t>(</a:t>
          </a:r>
          <a:r>
            <a:rPr kumimoji="1" lang="ja-JP" altLang="en-US" sz="1000">
              <a:latin typeface="Meiryo UI" panose="020B0604030504040204" pitchFamily="50" charset="-128"/>
              <a:ea typeface="Meiryo UI" panose="020B0604030504040204" pitchFamily="50" charset="-128"/>
            </a:rPr>
            <a:t>件</a:t>
          </a:r>
          <a:r>
            <a:rPr kumimoji="1" lang="en-US" altLang="ja-JP" sz="1000">
              <a:latin typeface="Meiryo UI" panose="020B0604030504040204" pitchFamily="50" charset="-128"/>
              <a:ea typeface="Meiryo UI" panose="020B0604030504040204" pitchFamily="50" charset="-128"/>
            </a:rPr>
            <a:t>/KS)</a:t>
          </a:r>
          <a:r>
            <a:rPr kumimoji="1" lang="ja-JP" altLang="en-US" sz="1000">
              <a:latin typeface="Meiryo UI" panose="020B0604030504040204" pitchFamily="50" charset="-128"/>
              <a:ea typeface="Meiryo UI" panose="020B0604030504040204" pitchFamily="50" charset="-128"/>
            </a:rPr>
            <a:t>の下限値・上限値を設定します</a:t>
          </a:r>
        </a:p>
      </xdr:txBody>
    </xdr:sp>
    <xdr:clientData/>
  </xdr:twoCellAnchor>
  <xdr:twoCellAnchor>
    <xdr:from>
      <xdr:col>45</xdr:col>
      <xdr:colOff>0</xdr:colOff>
      <xdr:row>1</xdr:row>
      <xdr:rowOff>238125</xdr:rowOff>
    </xdr:from>
    <xdr:to>
      <xdr:col>46</xdr:col>
      <xdr:colOff>514348</xdr:colOff>
      <xdr:row>3</xdr:row>
      <xdr:rowOff>38100</xdr:rowOff>
    </xdr:to>
    <xdr:sp macro="" textlink="">
      <xdr:nvSpPr>
        <xdr:cNvPr id="42" name="四角形: 角を丸くする 41">
          <a:extLst>
            <a:ext uri="{FF2B5EF4-FFF2-40B4-BE49-F238E27FC236}">
              <a16:creationId xmlns:a16="http://schemas.microsoft.com/office/drawing/2014/main" id="{00000000-0008-0000-0100-00002A000000}"/>
            </a:ext>
          </a:extLst>
        </xdr:cNvPr>
        <xdr:cNvSpPr/>
      </xdr:nvSpPr>
      <xdr:spPr>
        <a:xfrm>
          <a:off x="24545925" y="238125"/>
          <a:ext cx="1038223" cy="295275"/>
        </a:xfrm>
        <a:prstGeom prst="roundRect">
          <a:avLst>
            <a:gd name="adj" fmla="val 3764"/>
          </a:avLst>
        </a:prstGeom>
        <a:noFill/>
        <a:ln w="2222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39</xdr:col>
      <xdr:colOff>38100</xdr:colOff>
      <xdr:row>8</xdr:row>
      <xdr:rowOff>28575</xdr:rowOff>
    </xdr:from>
    <xdr:to>
      <xdr:col>42</xdr:col>
      <xdr:colOff>533400</xdr:colOff>
      <xdr:row>14</xdr:row>
      <xdr:rowOff>28576</xdr:rowOff>
    </xdr:to>
    <xdr:sp macro="" textlink="">
      <xdr:nvSpPr>
        <xdr:cNvPr id="43" name="四角形: 角を丸くする 42">
          <a:extLst>
            <a:ext uri="{FF2B5EF4-FFF2-40B4-BE49-F238E27FC236}">
              <a16:creationId xmlns:a16="http://schemas.microsoft.com/office/drawing/2014/main" id="{00000000-0008-0000-0100-00002B000000}"/>
            </a:ext>
          </a:extLst>
        </xdr:cNvPr>
        <xdr:cNvSpPr/>
      </xdr:nvSpPr>
      <xdr:spPr>
        <a:xfrm>
          <a:off x="20945475" y="1704975"/>
          <a:ext cx="2238375" cy="1219201"/>
        </a:xfrm>
        <a:prstGeom prst="roundRect">
          <a:avLst>
            <a:gd name="adj" fmla="val 3885"/>
          </a:avLst>
        </a:prstGeom>
        <a:noFill/>
        <a:ln w="2222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43</xdr:col>
      <xdr:colOff>104777</xdr:colOff>
      <xdr:row>8</xdr:row>
      <xdr:rowOff>28575</xdr:rowOff>
    </xdr:from>
    <xdr:to>
      <xdr:col>43</xdr:col>
      <xdr:colOff>552451</xdr:colOff>
      <xdr:row>14</xdr:row>
      <xdr:rowOff>38100</xdr:rowOff>
    </xdr:to>
    <xdr:sp macro="" textlink="">
      <xdr:nvSpPr>
        <xdr:cNvPr id="44" name="四角形: 角を丸くする 43">
          <a:extLst>
            <a:ext uri="{FF2B5EF4-FFF2-40B4-BE49-F238E27FC236}">
              <a16:creationId xmlns:a16="http://schemas.microsoft.com/office/drawing/2014/main" id="{00000000-0008-0000-0100-00002C000000}"/>
            </a:ext>
          </a:extLst>
        </xdr:cNvPr>
        <xdr:cNvSpPr/>
      </xdr:nvSpPr>
      <xdr:spPr>
        <a:xfrm>
          <a:off x="23336252" y="1704975"/>
          <a:ext cx="447674" cy="1228725"/>
        </a:xfrm>
        <a:prstGeom prst="roundRect">
          <a:avLst/>
        </a:prstGeom>
        <a:noFill/>
        <a:ln w="2222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42</xdr:col>
      <xdr:colOff>447674</xdr:colOff>
      <xdr:row>15</xdr:row>
      <xdr:rowOff>9525</xdr:rowOff>
    </xdr:from>
    <xdr:to>
      <xdr:col>44</xdr:col>
      <xdr:colOff>628649</xdr:colOff>
      <xdr:row>20</xdr:row>
      <xdr:rowOff>133351</xdr:rowOff>
    </xdr:to>
    <xdr:sp macro="" textlink="">
      <xdr:nvSpPr>
        <xdr:cNvPr id="45" name="吹き出し: 角を丸めた四角形 44">
          <a:extLst>
            <a:ext uri="{FF2B5EF4-FFF2-40B4-BE49-F238E27FC236}">
              <a16:creationId xmlns:a16="http://schemas.microsoft.com/office/drawing/2014/main" id="{00000000-0008-0000-0100-00002D000000}"/>
            </a:ext>
          </a:extLst>
        </xdr:cNvPr>
        <xdr:cNvSpPr/>
      </xdr:nvSpPr>
      <xdr:spPr>
        <a:xfrm>
          <a:off x="23098124" y="3086100"/>
          <a:ext cx="1419225" cy="1028701"/>
        </a:xfrm>
        <a:prstGeom prst="wedgeRoundRectCallout">
          <a:avLst>
            <a:gd name="adj1" fmla="val -17620"/>
            <a:gd name="adj2" fmla="val -67797"/>
            <a:gd name="adj3" fmla="val 16667"/>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lIns="36000" tIns="36000" rIns="36000" bIns="36000" rtlCol="0" anchor="t"/>
        <a:lstStyle/>
        <a:p>
          <a:pPr algn="l"/>
          <a:r>
            <a:rPr kumimoji="1" lang="ja-JP" altLang="en-US" sz="1000">
              <a:latin typeface="Meiryo UI" panose="020B0604030504040204" pitchFamily="50" charset="-128"/>
              <a:ea typeface="Meiryo UI" panose="020B0604030504040204" pitchFamily="50" charset="-128"/>
            </a:rPr>
            <a:t>担当者が未入力の場合に要員</a:t>
          </a:r>
          <a:r>
            <a:rPr kumimoji="1" lang="en-US" altLang="ja-JP" sz="1000">
              <a:latin typeface="Meiryo UI" panose="020B0604030504040204" pitchFamily="50" charset="-128"/>
              <a:ea typeface="Meiryo UI" panose="020B0604030504040204" pitchFamily="50" charset="-128"/>
            </a:rPr>
            <a:t>/</a:t>
          </a:r>
          <a:r>
            <a:rPr kumimoji="1" lang="ja-JP" altLang="en-US" sz="1000">
              <a:latin typeface="Meiryo UI" panose="020B0604030504040204" pitchFamily="50" charset="-128"/>
              <a:ea typeface="Meiryo UI" panose="020B0604030504040204" pitchFamily="50" charset="-128"/>
            </a:rPr>
            <a:t>体制の未割当本数として表示されます</a:t>
          </a:r>
        </a:p>
      </xdr:txBody>
    </xdr:sp>
    <xdr:clientData/>
  </xdr:twoCellAnchor>
  <xdr:twoCellAnchor>
    <xdr:from>
      <xdr:col>44</xdr:col>
      <xdr:colOff>104775</xdr:colOff>
      <xdr:row>8</xdr:row>
      <xdr:rowOff>19050</xdr:rowOff>
    </xdr:from>
    <xdr:to>
      <xdr:col>44</xdr:col>
      <xdr:colOff>533400</xdr:colOff>
      <xdr:row>14</xdr:row>
      <xdr:rowOff>9525</xdr:rowOff>
    </xdr:to>
    <xdr:sp macro="" textlink="">
      <xdr:nvSpPr>
        <xdr:cNvPr id="46" name="四角形: 角を丸くする 45">
          <a:extLst>
            <a:ext uri="{FF2B5EF4-FFF2-40B4-BE49-F238E27FC236}">
              <a16:creationId xmlns:a16="http://schemas.microsoft.com/office/drawing/2014/main" id="{00000000-0008-0000-0100-00002E000000}"/>
            </a:ext>
          </a:extLst>
        </xdr:cNvPr>
        <xdr:cNvSpPr/>
      </xdr:nvSpPr>
      <xdr:spPr>
        <a:xfrm>
          <a:off x="23993475" y="1695450"/>
          <a:ext cx="428625" cy="1209675"/>
        </a:xfrm>
        <a:prstGeom prst="roundRect">
          <a:avLst>
            <a:gd name="adj" fmla="val 7778"/>
          </a:avLst>
        </a:prstGeom>
        <a:noFill/>
        <a:ln w="31750">
          <a:solidFill>
            <a:schemeClr val="accent3">
              <a:lumMod val="50000"/>
            </a:schemeClr>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39</xdr:col>
      <xdr:colOff>409574</xdr:colOff>
      <xdr:row>15</xdr:row>
      <xdr:rowOff>9525</xdr:rowOff>
    </xdr:from>
    <xdr:to>
      <xdr:col>42</xdr:col>
      <xdr:colOff>238125</xdr:colOff>
      <xdr:row>21</xdr:row>
      <xdr:rowOff>9524</xdr:rowOff>
    </xdr:to>
    <xdr:sp macro="" textlink="">
      <xdr:nvSpPr>
        <xdr:cNvPr id="47" name="吹き出し: 角を丸めた四角形 46">
          <a:extLst>
            <a:ext uri="{FF2B5EF4-FFF2-40B4-BE49-F238E27FC236}">
              <a16:creationId xmlns:a16="http://schemas.microsoft.com/office/drawing/2014/main" id="{00000000-0008-0000-0100-00002F000000}"/>
            </a:ext>
          </a:extLst>
        </xdr:cNvPr>
        <xdr:cNvSpPr/>
      </xdr:nvSpPr>
      <xdr:spPr>
        <a:xfrm>
          <a:off x="21316949" y="3086100"/>
          <a:ext cx="1571626" cy="1085849"/>
        </a:xfrm>
        <a:prstGeom prst="wedgeRoundRectCallout">
          <a:avLst>
            <a:gd name="adj1" fmla="val -29270"/>
            <a:gd name="adj2" fmla="val -68723"/>
            <a:gd name="adj3" fmla="val 16667"/>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lIns="36000" tIns="36000" rIns="36000" bIns="36000" rtlCol="0" anchor="t"/>
        <a:lstStyle/>
        <a:p>
          <a:pPr algn="l"/>
          <a:r>
            <a:rPr kumimoji="1" lang="ja-JP" altLang="en-US" sz="1000">
              <a:latin typeface="Meiryo UI" panose="020B0604030504040204" pitchFamily="50" charset="-128"/>
              <a:ea typeface="Meiryo UI" panose="020B0604030504040204" pitchFamily="50" charset="-128"/>
            </a:rPr>
            <a:t>取り込み対象の行に対して予定日・実績日を入力</a:t>
          </a:r>
          <a:endParaRPr kumimoji="1" lang="en-US" altLang="ja-JP" sz="1000">
            <a:latin typeface="Meiryo UI" panose="020B0604030504040204" pitchFamily="50" charset="-128"/>
            <a:ea typeface="Meiryo UI" panose="020B0604030504040204" pitchFamily="50" charset="-128"/>
          </a:endParaRPr>
        </a:p>
        <a:p>
          <a:pPr algn="l"/>
          <a:r>
            <a:rPr kumimoji="1" lang="ja-JP" altLang="en-US" sz="1000">
              <a:latin typeface="Meiryo UI" panose="020B0604030504040204" pitchFamily="50" charset="-128"/>
              <a:ea typeface="Meiryo UI" panose="020B0604030504040204" pitchFamily="50" charset="-128"/>
            </a:rPr>
            <a:t>予定日は必須</a:t>
          </a:r>
          <a:endParaRPr kumimoji="1" lang="en-US" altLang="ja-JP" sz="1000">
            <a:latin typeface="Meiryo UI" panose="020B0604030504040204" pitchFamily="50" charset="-128"/>
            <a:ea typeface="Meiryo UI" panose="020B0604030504040204" pitchFamily="50" charset="-128"/>
          </a:endParaRPr>
        </a:p>
        <a:p>
          <a:pPr algn="l"/>
          <a:r>
            <a:rPr kumimoji="1" lang="ja-JP" altLang="en-US" sz="1000">
              <a:latin typeface="Meiryo UI" panose="020B0604030504040204" pitchFamily="50" charset="-128"/>
              <a:ea typeface="Meiryo UI" panose="020B0604030504040204" pitchFamily="50" charset="-128"/>
            </a:rPr>
            <a:t>実績は未入力も可</a:t>
          </a:r>
        </a:p>
      </xdr:txBody>
    </xdr:sp>
    <xdr:clientData/>
  </xdr:twoCellAnchor>
  <xdr:twoCellAnchor>
    <xdr:from>
      <xdr:col>47</xdr:col>
      <xdr:colOff>85727</xdr:colOff>
      <xdr:row>8</xdr:row>
      <xdr:rowOff>9525</xdr:rowOff>
    </xdr:from>
    <xdr:to>
      <xdr:col>47</xdr:col>
      <xdr:colOff>533401</xdr:colOff>
      <xdr:row>14</xdr:row>
      <xdr:rowOff>19050</xdr:rowOff>
    </xdr:to>
    <xdr:sp macro="" textlink="">
      <xdr:nvSpPr>
        <xdr:cNvPr id="48" name="四角形: 角を丸くする 47">
          <a:extLst>
            <a:ext uri="{FF2B5EF4-FFF2-40B4-BE49-F238E27FC236}">
              <a16:creationId xmlns:a16="http://schemas.microsoft.com/office/drawing/2014/main" id="{00000000-0008-0000-0100-000030000000}"/>
            </a:ext>
          </a:extLst>
        </xdr:cNvPr>
        <xdr:cNvSpPr/>
      </xdr:nvSpPr>
      <xdr:spPr>
        <a:xfrm>
          <a:off x="25679402" y="1685925"/>
          <a:ext cx="447674" cy="1228725"/>
        </a:xfrm>
        <a:prstGeom prst="roundRect">
          <a:avLst/>
        </a:prstGeom>
        <a:noFill/>
        <a:ln w="2222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45</xdr:col>
      <xdr:colOff>276226</xdr:colOff>
      <xdr:row>14</xdr:row>
      <xdr:rowOff>161925</xdr:rowOff>
    </xdr:from>
    <xdr:to>
      <xdr:col>47</xdr:col>
      <xdr:colOff>390526</xdr:colOff>
      <xdr:row>20</xdr:row>
      <xdr:rowOff>123824</xdr:rowOff>
    </xdr:to>
    <xdr:sp macro="" textlink="">
      <xdr:nvSpPr>
        <xdr:cNvPr id="49" name="吹き出し: 角を丸めた四角形 48">
          <a:extLst>
            <a:ext uri="{FF2B5EF4-FFF2-40B4-BE49-F238E27FC236}">
              <a16:creationId xmlns:a16="http://schemas.microsoft.com/office/drawing/2014/main" id="{00000000-0008-0000-0100-000031000000}"/>
            </a:ext>
          </a:extLst>
        </xdr:cNvPr>
        <xdr:cNvSpPr/>
      </xdr:nvSpPr>
      <xdr:spPr>
        <a:xfrm>
          <a:off x="24822151" y="3057525"/>
          <a:ext cx="1162050" cy="1047749"/>
        </a:xfrm>
        <a:prstGeom prst="wedgeRoundRectCallout">
          <a:avLst>
            <a:gd name="adj1" fmla="val 33926"/>
            <a:gd name="adj2" fmla="val -64161"/>
            <a:gd name="adj3" fmla="val 16667"/>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lIns="36000" tIns="36000" rIns="36000" bIns="36000" rtlCol="0" anchor="t"/>
        <a:lstStyle/>
        <a:p>
          <a:pPr algn="l"/>
          <a:r>
            <a:rPr kumimoji="1" lang="ja-JP" altLang="en-US" sz="1000">
              <a:latin typeface="Meiryo UI" panose="020B0604030504040204" pitchFamily="50" charset="-128"/>
              <a:ea typeface="Meiryo UI" panose="020B0604030504040204" pitchFamily="50" charset="-128"/>
            </a:rPr>
            <a:t>集計値が摘出バグ件数として表示されます</a:t>
          </a:r>
        </a:p>
      </xdr:txBody>
    </xdr:sp>
    <xdr:clientData/>
  </xdr:twoCellAnchor>
  <xdr:twoCellAnchor>
    <xdr:from>
      <xdr:col>45</xdr:col>
      <xdr:colOff>19051</xdr:colOff>
      <xdr:row>24</xdr:row>
      <xdr:rowOff>19050</xdr:rowOff>
    </xdr:from>
    <xdr:to>
      <xdr:col>47</xdr:col>
      <xdr:colOff>0</xdr:colOff>
      <xdr:row>25</xdr:row>
      <xdr:rowOff>57152</xdr:rowOff>
    </xdr:to>
    <xdr:sp macro="" textlink="">
      <xdr:nvSpPr>
        <xdr:cNvPr id="50" name="右中かっこ 49">
          <a:extLst>
            <a:ext uri="{FF2B5EF4-FFF2-40B4-BE49-F238E27FC236}">
              <a16:creationId xmlns:a16="http://schemas.microsoft.com/office/drawing/2014/main" id="{00000000-0008-0000-0100-000032000000}"/>
            </a:ext>
          </a:extLst>
        </xdr:cNvPr>
        <xdr:cNvSpPr/>
      </xdr:nvSpPr>
      <xdr:spPr>
        <a:xfrm rot="5400000">
          <a:off x="24965025" y="4343401"/>
          <a:ext cx="228602" cy="1028699"/>
        </a:xfrm>
        <a:prstGeom prst="rightBrace">
          <a:avLst/>
        </a:prstGeom>
        <a:ln w="22225">
          <a:solidFill>
            <a:srgbClr val="FF0000"/>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48</xdr:col>
      <xdr:colOff>9525</xdr:colOff>
      <xdr:row>8</xdr:row>
      <xdr:rowOff>9525</xdr:rowOff>
    </xdr:from>
    <xdr:to>
      <xdr:col>48</xdr:col>
      <xdr:colOff>838199</xdr:colOff>
      <xdr:row>14</xdr:row>
      <xdr:rowOff>38099</xdr:rowOff>
    </xdr:to>
    <xdr:sp macro="" textlink="">
      <xdr:nvSpPr>
        <xdr:cNvPr id="51" name="四角形: 角を丸くする 50">
          <a:extLst>
            <a:ext uri="{FF2B5EF4-FFF2-40B4-BE49-F238E27FC236}">
              <a16:creationId xmlns:a16="http://schemas.microsoft.com/office/drawing/2014/main" id="{00000000-0008-0000-0100-000033000000}"/>
            </a:ext>
          </a:extLst>
        </xdr:cNvPr>
        <xdr:cNvSpPr/>
      </xdr:nvSpPr>
      <xdr:spPr>
        <a:xfrm>
          <a:off x="26184225" y="1685925"/>
          <a:ext cx="828674" cy="1247774"/>
        </a:xfrm>
        <a:prstGeom prst="roundRect">
          <a:avLst>
            <a:gd name="adj" fmla="val 9770"/>
          </a:avLst>
        </a:prstGeom>
        <a:noFill/>
        <a:ln w="28575">
          <a:solidFill>
            <a:srgbClr val="0070C0"/>
          </a:solidFill>
          <a:prstDash val="dash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47</xdr:col>
      <xdr:colOff>466725</xdr:colOff>
      <xdr:row>24</xdr:row>
      <xdr:rowOff>152400</xdr:rowOff>
    </xdr:from>
    <xdr:to>
      <xdr:col>51</xdr:col>
      <xdr:colOff>104774</xdr:colOff>
      <xdr:row>31</xdr:row>
      <xdr:rowOff>123824</xdr:rowOff>
    </xdr:to>
    <xdr:sp macro="" textlink="">
      <xdr:nvSpPr>
        <xdr:cNvPr id="52" name="四角形: 角を丸くする 51">
          <a:extLst>
            <a:ext uri="{FF2B5EF4-FFF2-40B4-BE49-F238E27FC236}">
              <a16:creationId xmlns:a16="http://schemas.microsoft.com/office/drawing/2014/main" id="{00000000-0008-0000-0100-000034000000}"/>
            </a:ext>
          </a:extLst>
        </xdr:cNvPr>
        <xdr:cNvSpPr/>
      </xdr:nvSpPr>
      <xdr:spPr>
        <a:xfrm>
          <a:off x="26060400" y="4876800"/>
          <a:ext cx="1790699" cy="1247774"/>
        </a:xfrm>
        <a:prstGeom prst="roundRect">
          <a:avLst>
            <a:gd name="adj" fmla="val 9770"/>
          </a:avLst>
        </a:prstGeom>
        <a:noFill/>
        <a:ln w="28575">
          <a:solidFill>
            <a:srgbClr val="0070C0"/>
          </a:solidFill>
          <a:prstDash val="dash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51</xdr:col>
      <xdr:colOff>38099</xdr:colOff>
      <xdr:row>30</xdr:row>
      <xdr:rowOff>9525</xdr:rowOff>
    </xdr:from>
    <xdr:to>
      <xdr:col>52</xdr:col>
      <xdr:colOff>609599</xdr:colOff>
      <xdr:row>34</xdr:row>
      <xdr:rowOff>152401</xdr:rowOff>
    </xdr:to>
    <xdr:sp macro="" textlink="">
      <xdr:nvSpPr>
        <xdr:cNvPr id="53" name="吹き出し: 角を丸めた四角形 52">
          <a:extLst>
            <a:ext uri="{FF2B5EF4-FFF2-40B4-BE49-F238E27FC236}">
              <a16:creationId xmlns:a16="http://schemas.microsoft.com/office/drawing/2014/main" id="{00000000-0008-0000-0100-000035000000}"/>
            </a:ext>
          </a:extLst>
        </xdr:cNvPr>
        <xdr:cNvSpPr/>
      </xdr:nvSpPr>
      <xdr:spPr>
        <a:xfrm>
          <a:off x="27784424" y="5829300"/>
          <a:ext cx="1114425" cy="866776"/>
        </a:xfrm>
        <a:prstGeom prst="wedgeRoundRectCallout">
          <a:avLst>
            <a:gd name="adj1" fmla="val -44323"/>
            <a:gd name="adj2" fmla="val -76416"/>
            <a:gd name="adj3" fmla="val 16667"/>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lIns="36000" tIns="36000" rIns="36000" bIns="36000" rtlCol="0" anchor="t"/>
        <a:lstStyle/>
        <a:p>
          <a:pPr algn="l"/>
          <a:r>
            <a:rPr kumimoji="1" lang="ja-JP" altLang="en-US" sz="1000">
              <a:latin typeface="Meiryo UI" panose="020B0604030504040204" pitchFamily="50" charset="-128"/>
              <a:ea typeface="Meiryo UI" panose="020B0604030504040204" pitchFamily="50" charset="-128"/>
            </a:rPr>
            <a:t>現在進捗の選択リストを任意設定できます</a:t>
          </a:r>
        </a:p>
      </xdr:txBody>
    </xdr:sp>
    <xdr:clientData/>
  </xdr:twoCellAnchor>
  <xdr:twoCellAnchor>
    <xdr:from>
      <xdr:col>47</xdr:col>
      <xdr:colOff>485773</xdr:colOff>
      <xdr:row>14</xdr:row>
      <xdr:rowOff>152400</xdr:rowOff>
    </xdr:from>
    <xdr:to>
      <xdr:col>49</xdr:col>
      <xdr:colOff>19049</xdr:colOff>
      <xdr:row>21</xdr:row>
      <xdr:rowOff>66675</xdr:rowOff>
    </xdr:to>
    <xdr:sp macro="" textlink="">
      <xdr:nvSpPr>
        <xdr:cNvPr id="54" name="吹き出し: 角を丸めた四角形 53">
          <a:extLst>
            <a:ext uri="{FF2B5EF4-FFF2-40B4-BE49-F238E27FC236}">
              <a16:creationId xmlns:a16="http://schemas.microsoft.com/office/drawing/2014/main" id="{00000000-0008-0000-0100-000036000000}"/>
            </a:ext>
          </a:extLst>
        </xdr:cNvPr>
        <xdr:cNvSpPr/>
      </xdr:nvSpPr>
      <xdr:spPr>
        <a:xfrm>
          <a:off x="26079448" y="3048000"/>
          <a:ext cx="971551" cy="1181100"/>
        </a:xfrm>
        <a:prstGeom prst="wedgeRoundRectCallout">
          <a:avLst>
            <a:gd name="adj1" fmla="val -13391"/>
            <a:gd name="adj2" fmla="val -62635"/>
            <a:gd name="adj3" fmla="val 16667"/>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lIns="36000" tIns="36000" rIns="36000" bIns="36000" rtlCol="0" anchor="t"/>
        <a:lstStyle/>
        <a:p>
          <a:r>
            <a:rPr kumimoji="1" lang="ja-JP" altLang="en-US" sz="1000">
              <a:latin typeface="Meiryo UI" panose="020B0604030504040204" pitchFamily="50" charset="-128"/>
              <a:ea typeface="Meiryo UI" panose="020B0604030504040204" pitchFamily="50" charset="-128"/>
            </a:rPr>
            <a:t>リスト選択すると下記の設定値の進捗率が自動設定されます</a:t>
          </a:r>
        </a:p>
      </xdr:txBody>
    </xdr:sp>
    <xdr:clientData/>
  </xdr:twoCellAnchor>
  <xdr:twoCellAnchor>
    <xdr:from>
      <xdr:col>48</xdr:col>
      <xdr:colOff>390524</xdr:colOff>
      <xdr:row>21</xdr:row>
      <xdr:rowOff>66675</xdr:rowOff>
    </xdr:from>
    <xdr:to>
      <xdr:col>48</xdr:col>
      <xdr:colOff>814387</xdr:colOff>
      <xdr:row>24</xdr:row>
      <xdr:rowOff>152400</xdr:rowOff>
    </xdr:to>
    <xdr:cxnSp macro="">
      <xdr:nvCxnSpPr>
        <xdr:cNvPr id="55" name="直線矢印コネクタ 54">
          <a:extLst>
            <a:ext uri="{FF2B5EF4-FFF2-40B4-BE49-F238E27FC236}">
              <a16:creationId xmlns:a16="http://schemas.microsoft.com/office/drawing/2014/main" id="{00000000-0008-0000-0100-000037000000}"/>
            </a:ext>
          </a:extLst>
        </xdr:cNvPr>
        <xdr:cNvCxnSpPr>
          <a:stCxn id="54" idx="2"/>
          <a:endCxn id="52" idx="0"/>
        </xdr:cNvCxnSpPr>
      </xdr:nvCxnSpPr>
      <xdr:spPr>
        <a:xfrm>
          <a:off x="26565224" y="4229100"/>
          <a:ext cx="423863" cy="647700"/>
        </a:xfrm>
        <a:prstGeom prst="straightConnector1">
          <a:avLst/>
        </a:prstGeom>
        <a:ln w="2222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28576</xdr:colOff>
      <xdr:row>8</xdr:row>
      <xdr:rowOff>28575</xdr:rowOff>
    </xdr:from>
    <xdr:to>
      <xdr:col>50</xdr:col>
      <xdr:colOff>504826</xdr:colOff>
      <xdr:row>14</xdr:row>
      <xdr:rowOff>28575</xdr:rowOff>
    </xdr:to>
    <xdr:sp macro="" textlink="">
      <xdr:nvSpPr>
        <xdr:cNvPr id="56" name="四角形: 角を丸くする 55">
          <a:extLst>
            <a:ext uri="{FF2B5EF4-FFF2-40B4-BE49-F238E27FC236}">
              <a16:creationId xmlns:a16="http://schemas.microsoft.com/office/drawing/2014/main" id="{00000000-0008-0000-0100-000038000000}"/>
            </a:ext>
          </a:extLst>
        </xdr:cNvPr>
        <xdr:cNvSpPr/>
      </xdr:nvSpPr>
      <xdr:spPr>
        <a:xfrm>
          <a:off x="27231976" y="1704975"/>
          <a:ext cx="476250" cy="1219200"/>
        </a:xfrm>
        <a:prstGeom prst="roundRect">
          <a:avLst/>
        </a:prstGeom>
        <a:noFill/>
        <a:ln w="31750">
          <a:solidFill>
            <a:schemeClr val="accent3">
              <a:lumMod val="50000"/>
            </a:schemeClr>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49</xdr:col>
      <xdr:colOff>142875</xdr:colOff>
      <xdr:row>15</xdr:row>
      <xdr:rowOff>9525</xdr:rowOff>
    </xdr:from>
    <xdr:to>
      <xdr:col>52</xdr:col>
      <xdr:colOff>47625</xdr:colOff>
      <xdr:row>21</xdr:row>
      <xdr:rowOff>104775</xdr:rowOff>
    </xdr:to>
    <xdr:sp macro="" textlink="">
      <xdr:nvSpPr>
        <xdr:cNvPr id="57" name="吹き出し: 角を丸めた四角形 56">
          <a:extLst>
            <a:ext uri="{FF2B5EF4-FFF2-40B4-BE49-F238E27FC236}">
              <a16:creationId xmlns:a16="http://schemas.microsoft.com/office/drawing/2014/main" id="{00000000-0008-0000-0100-000039000000}"/>
            </a:ext>
          </a:extLst>
        </xdr:cNvPr>
        <xdr:cNvSpPr/>
      </xdr:nvSpPr>
      <xdr:spPr>
        <a:xfrm>
          <a:off x="27174825" y="3086100"/>
          <a:ext cx="1162050" cy="1181100"/>
        </a:xfrm>
        <a:prstGeom prst="wedgeRoundRectCallout">
          <a:avLst>
            <a:gd name="adj1" fmla="val -15352"/>
            <a:gd name="adj2" fmla="val -66667"/>
            <a:gd name="adj3" fmla="val 16667"/>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lIns="36000" tIns="36000" rIns="36000" bIns="36000" rtlCol="0" anchor="t"/>
        <a:lstStyle/>
        <a:p>
          <a:r>
            <a:rPr kumimoji="1" lang="ja-JP" altLang="en-US" sz="1000">
              <a:latin typeface="Meiryo UI" panose="020B0604030504040204" pitchFamily="50" charset="-128"/>
              <a:ea typeface="Meiryo UI" panose="020B0604030504040204" pitchFamily="50" charset="-128"/>
            </a:rPr>
            <a:t>機能毎の</a:t>
          </a:r>
          <a:r>
            <a:rPr kumimoji="1" lang="ja-JP" altLang="ja-JP" sz="1000">
              <a:solidFill>
                <a:schemeClr val="lt1"/>
              </a:solidFill>
              <a:effectLst/>
              <a:latin typeface="Meiryo UI" panose="020B0604030504040204" pitchFamily="50" charset="-128"/>
              <a:ea typeface="Meiryo UI" panose="020B0604030504040204" pitchFamily="50" charset="-128"/>
              <a:cs typeface="+mn-cs"/>
            </a:rPr>
            <a:t>進捗</a:t>
          </a:r>
          <a:r>
            <a:rPr kumimoji="1" lang="ja-JP" altLang="en-US" sz="1000">
              <a:solidFill>
                <a:schemeClr val="lt1"/>
              </a:solidFill>
              <a:effectLst/>
              <a:latin typeface="Meiryo UI" panose="020B0604030504040204" pitchFamily="50" charset="-128"/>
              <a:ea typeface="Meiryo UI" panose="020B0604030504040204" pitchFamily="50" charset="-128"/>
              <a:cs typeface="+mn-cs"/>
            </a:rPr>
            <a:t>率</a:t>
          </a:r>
          <a:r>
            <a:rPr kumimoji="1" lang="ja-JP" altLang="ja-JP" sz="1000">
              <a:solidFill>
                <a:schemeClr val="lt1"/>
              </a:solidFill>
              <a:effectLst/>
              <a:latin typeface="Meiryo UI" panose="020B0604030504040204" pitchFamily="50" charset="-128"/>
              <a:ea typeface="Meiryo UI" panose="020B0604030504040204" pitchFamily="50" charset="-128"/>
              <a:cs typeface="+mn-cs"/>
            </a:rPr>
            <a:t>を</a:t>
          </a:r>
          <a:r>
            <a:rPr kumimoji="1" lang="en-US" altLang="ja-JP" sz="1000">
              <a:solidFill>
                <a:schemeClr val="lt1"/>
              </a:solidFill>
              <a:effectLst/>
              <a:latin typeface="Meiryo UI" panose="020B0604030504040204" pitchFamily="50" charset="-128"/>
              <a:ea typeface="Meiryo UI" panose="020B0604030504040204" pitchFamily="50" charset="-128"/>
              <a:cs typeface="+mn-cs"/>
            </a:rPr>
            <a:t>0</a:t>
          </a:r>
          <a:r>
            <a:rPr kumimoji="1" lang="ja-JP" altLang="ja-JP" sz="1000">
              <a:solidFill>
                <a:schemeClr val="lt1"/>
              </a:solidFill>
              <a:effectLst/>
              <a:latin typeface="Meiryo UI" panose="020B0604030504040204" pitchFamily="50" charset="-128"/>
              <a:ea typeface="Meiryo UI" panose="020B0604030504040204" pitchFamily="50" charset="-128"/>
              <a:cs typeface="+mn-cs"/>
            </a:rPr>
            <a:t>～</a:t>
          </a:r>
          <a:r>
            <a:rPr kumimoji="1" lang="en-US" altLang="ja-JP" sz="1000">
              <a:solidFill>
                <a:schemeClr val="lt1"/>
              </a:solidFill>
              <a:effectLst/>
              <a:latin typeface="Meiryo UI" panose="020B0604030504040204" pitchFamily="50" charset="-128"/>
              <a:ea typeface="Meiryo UI" panose="020B0604030504040204" pitchFamily="50" charset="-128"/>
              <a:cs typeface="+mn-cs"/>
            </a:rPr>
            <a:t>100</a:t>
          </a:r>
          <a:r>
            <a:rPr kumimoji="1" lang="ja-JP" altLang="ja-JP" sz="1000">
              <a:solidFill>
                <a:schemeClr val="lt1"/>
              </a:solidFill>
              <a:effectLst/>
              <a:latin typeface="Meiryo UI" panose="020B0604030504040204" pitchFamily="50" charset="-128"/>
              <a:ea typeface="Meiryo UI" panose="020B0604030504040204" pitchFamily="50" charset="-128"/>
              <a:cs typeface="+mn-cs"/>
            </a:rPr>
            <a:t>で設定</a:t>
          </a:r>
          <a:endParaRPr lang="ja-JP" altLang="ja-JP" sz="1000">
            <a:effectLst/>
            <a:latin typeface="Meiryo UI" panose="020B0604030504040204" pitchFamily="50" charset="-128"/>
            <a:ea typeface="Meiryo UI" panose="020B0604030504040204" pitchFamily="50" charset="-128"/>
          </a:endParaRPr>
        </a:p>
        <a:p>
          <a:r>
            <a:rPr kumimoji="1" lang="ja-JP" altLang="en-US" sz="1000">
              <a:solidFill>
                <a:schemeClr val="lt1"/>
              </a:solidFill>
              <a:effectLst/>
              <a:latin typeface="Meiryo UI" panose="020B0604030504040204" pitchFamily="50" charset="-128"/>
              <a:ea typeface="Meiryo UI" panose="020B0604030504040204" pitchFamily="50" charset="-128"/>
              <a:cs typeface="+mn-cs"/>
            </a:rPr>
            <a:t>未入力は０とみなします</a:t>
          </a:r>
          <a:endParaRPr kumimoji="1" lang="ja-JP" altLang="en-US" sz="1000">
            <a:latin typeface="Meiryo UI" panose="020B0604030504040204" pitchFamily="50" charset="-128"/>
            <a:ea typeface="Meiryo UI" panose="020B0604030504040204" pitchFamily="50" charset="-128"/>
          </a:endParaRPr>
        </a:p>
      </xdr:txBody>
    </xdr:sp>
    <xdr:clientData/>
  </xdr:twoCellAnchor>
  <xdr:twoCellAnchor>
    <xdr:from>
      <xdr:col>51</xdr:col>
      <xdr:colOff>278344</xdr:colOff>
      <xdr:row>19</xdr:row>
      <xdr:rowOff>107950</xdr:rowOff>
    </xdr:from>
    <xdr:to>
      <xdr:col>52</xdr:col>
      <xdr:colOff>790576</xdr:colOff>
      <xdr:row>24</xdr:row>
      <xdr:rowOff>49743</xdr:rowOff>
    </xdr:to>
    <xdr:sp macro="" textlink="">
      <xdr:nvSpPr>
        <xdr:cNvPr id="58" name="吹き出し: 角を丸めた四角形 57">
          <a:extLst>
            <a:ext uri="{FF2B5EF4-FFF2-40B4-BE49-F238E27FC236}">
              <a16:creationId xmlns:a16="http://schemas.microsoft.com/office/drawing/2014/main" id="{00000000-0008-0000-0100-00003A000000}"/>
            </a:ext>
          </a:extLst>
        </xdr:cNvPr>
        <xdr:cNvSpPr/>
      </xdr:nvSpPr>
      <xdr:spPr>
        <a:xfrm>
          <a:off x="28024669" y="3908425"/>
          <a:ext cx="1055157" cy="865718"/>
        </a:xfrm>
        <a:prstGeom prst="wedgeRoundRectCallout">
          <a:avLst>
            <a:gd name="adj1" fmla="val -63597"/>
            <a:gd name="adj2" fmla="val -23663"/>
            <a:gd name="adj3" fmla="val 16667"/>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lIns="36000" tIns="36000" rIns="36000" bIns="36000" rtlCol="0" anchor="t"/>
        <a:lstStyle/>
        <a:p>
          <a:pPr algn="l"/>
          <a:r>
            <a:rPr kumimoji="1" lang="ja-JP" altLang="en-US" sz="1000">
              <a:latin typeface="Meiryo UI" panose="020B0604030504040204" pitchFamily="50" charset="-128"/>
              <a:ea typeface="Meiryo UI" panose="020B0604030504040204" pitchFamily="50" charset="-128"/>
            </a:rPr>
            <a:t>工数</a:t>
          </a:r>
          <a:r>
            <a:rPr kumimoji="1" lang="en-US" altLang="ja-JP" sz="1000">
              <a:latin typeface="Meiryo UI" panose="020B0604030504040204" pitchFamily="50" charset="-128"/>
              <a:ea typeface="Meiryo UI" panose="020B0604030504040204" pitchFamily="50" charset="-128"/>
            </a:rPr>
            <a:t>×</a:t>
          </a:r>
          <a:r>
            <a:rPr kumimoji="1" lang="ja-JP" altLang="en-US" sz="1000">
              <a:latin typeface="Meiryo UI" panose="020B0604030504040204" pitchFamily="50" charset="-128"/>
              <a:ea typeface="Meiryo UI" panose="020B0604030504040204" pitchFamily="50" charset="-128"/>
            </a:rPr>
            <a:t>進捗率で実績工数として表示されます</a:t>
          </a:r>
        </a:p>
      </xdr:txBody>
    </xdr:sp>
    <xdr:clientData/>
  </xdr:twoCellAnchor>
  <xdr:twoCellAnchor>
    <xdr:from>
      <xdr:col>51</xdr:col>
      <xdr:colOff>66677</xdr:colOff>
      <xdr:row>8</xdr:row>
      <xdr:rowOff>9525</xdr:rowOff>
    </xdr:from>
    <xdr:to>
      <xdr:col>51</xdr:col>
      <xdr:colOff>514351</xdr:colOff>
      <xdr:row>14</xdr:row>
      <xdr:rowOff>19050</xdr:rowOff>
    </xdr:to>
    <xdr:sp macro="" textlink="">
      <xdr:nvSpPr>
        <xdr:cNvPr id="59" name="四角形: 角を丸くする 58">
          <a:extLst>
            <a:ext uri="{FF2B5EF4-FFF2-40B4-BE49-F238E27FC236}">
              <a16:creationId xmlns:a16="http://schemas.microsoft.com/office/drawing/2014/main" id="{00000000-0008-0000-0100-00003B000000}"/>
            </a:ext>
          </a:extLst>
        </xdr:cNvPr>
        <xdr:cNvSpPr/>
      </xdr:nvSpPr>
      <xdr:spPr>
        <a:xfrm>
          <a:off x="27813002" y="1685925"/>
          <a:ext cx="447674" cy="1228725"/>
        </a:xfrm>
        <a:prstGeom prst="roundRect">
          <a:avLst/>
        </a:prstGeom>
        <a:noFill/>
        <a:ln w="2222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51</xdr:col>
      <xdr:colOff>381000</xdr:colOff>
      <xdr:row>1</xdr:row>
      <xdr:rowOff>219075</xdr:rowOff>
    </xdr:from>
    <xdr:to>
      <xdr:col>53</xdr:col>
      <xdr:colOff>95250</xdr:colOff>
      <xdr:row>5</xdr:row>
      <xdr:rowOff>95249</xdr:rowOff>
    </xdr:to>
    <xdr:sp macro="" textlink="">
      <xdr:nvSpPr>
        <xdr:cNvPr id="60" name="吹き出し: 角を丸めた四角形 59">
          <a:extLst>
            <a:ext uri="{FF2B5EF4-FFF2-40B4-BE49-F238E27FC236}">
              <a16:creationId xmlns:a16="http://schemas.microsoft.com/office/drawing/2014/main" id="{00000000-0008-0000-0100-00003C000000}"/>
            </a:ext>
          </a:extLst>
        </xdr:cNvPr>
        <xdr:cNvSpPr/>
      </xdr:nvSpPr>
      <xdr:spPr>
        <a:xfrm>
          <a:off x="28127325" y="219075"/>
          <a:ext cx="1181100" cy="800099"/>
        </a:xfrm>
        <a:prstGeom prst="wedgeRoundRectCallout">
          <a:avLst>
            <a:gd name="adj1" fmla="val -47558"/>
            <a:gd name="adj2" fmla="val 134984"/>
            <a:gd name="adj3" fmla="val 16667"/>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lIns="36000" tIns="36000" rIns="36000" bIns="36000" rtlCol="0" anchor="t"/>
        <a:lstStyle/>
        <a:p>
          <a:r>
            <a:rPr kumimoji="1" lang="ja-JP" altLang="en-US" sz="1000">
              <a:latin typeface="Meiryo UI" panose="020B0604030504040204" pitchFamily="50" charset="-128"/>
              <a:ea typeface="Meiryo UI" panose="020B0604030504040204" pitchFamily="50" charset="-128"/>
            </a:rPr>
            <a:t>進捗率が</a:t>
          </a:r>
          <a:r>
            <a:rPr kumimoji="1" lang="en-US" altLang="ja-JP" sz="1000">
              <a:latin typeface="Meiryo UI" panose="020B0604030504040204" pitchFamily="50" charset="-128"/>
              <a:ea typeface="Meiryo UI" panose="020B0604030504040204" pitchFamily="50" charset="-128"/>
            </a:rPr>
            <a:t>100%</a:t>
          </a:r>
          <a:r>
            <a:rPr kumimoji="1" lang="ja-JP" altLang="en-US" sz="1000">
              <a:latin typeface="Meiryo UI" panose="020B0604030504040204" pitchFamily="50" charset="-128"/>
              <a:ea typeface="Meiryo UI" panose="020B0604030504040204" pitchFamily="50" charset="-128"/>
            </a:rPr>
            <a:t>の場合、摘出バグの評価が表示されます</a:t>
          </a:r>
        </a:p>
      </xdr:txBody>
    </xdr:sp>
    <xdr:clientData/>
  </xdr:twoCellAnchor>
  <xdr:twoCellAnchor>
    <xdr:from>
      <xdr:col>53</xdr:col>
      <xdr:colOff>161926</xdr:colOff>
      <xdr:row>1</xdr:row>
      <xdr:rowOff>104775</xdr:rowOff>
    </xdr:from>
    <xdr:to>
      <xdr:col>55</xdr:col>
      <xdr:colOff>9525</xdr:colOff>
      <xdr:row>5</xdr:row>
      <xdr:rowOff>190500</xdr:rowOff>
    </xdr:to>
    <xdr:sp macro="" textlink="">
      <xdr:nvSpPr>
        <xdr:cNvPr id="61" name="吹き出し: 角を丸めた四角形 60">
          <a:extLst>
            <a:ext uri="{FF2B5EF4-FFF2-40B4-BE49-F238E27FC236}">
              <a16:creationId xmlns:a16="http://schemas.microsoft.com/office/drawing/2014/main" id="{00000000-0008-0000-0100-00003D000000}"/>
            </a:ext>
          </a:extLst>
        </xdr:cNvPr>
        <xdr:cNvSpPr/>
      </xdr:nvSpPr>
      <xdr:spPr>
        <a:xfrm>
          <a:off x="29375101" y="104775"/>
          <a:ext cx="857249" cy="1009650"/>
        </a:xfrm>
        <a:prstGeom prst="wedgeRoundRectCallout">
          <a:avLst>
            <a:gd name="adj1" fmla="val -75090"/>
            <a:gd name="adj2" fmla="val 18761"/>
            <a:gd name="adj3" fmla="val 16667"/>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lIns="36000" tIns="36000" rIns="36000" bIns="36000" rtlCol="0" anchor="t"/>
        <a:lstStyle/>
        <a:p>
          <a:pPr algn="l"/>
          <a:r>
            <a:rPr kumimoji="1" lang="en-US" altLang="ja-JP" sz="1000">
              <a:latin typeface="Meiryo UI" panose="020B0604030504040204" pitchFamily="50" charset="-128"/>
              <a:ea typeface="Meiryo UI" panose="020B0604030504040204" pitchFamily="50" charset="-128"/>
            </a:rPr>
            <a:t>SLPM</a:t>
          </a:r>
          <a:r>
            <a:rPr kumimoji="1" lang="ja-JP" altLang="en-US" sz="1000">
              <a:latin typeface="Meiryo UI" panose="020B0604030504040204" pitchFamily="50" charset="-128"/>
              <a:ea typeface="Meiryo UI" panose="020B0604030504040204" pitchFamily="50" charset="-128"/>
            </a:rPr>
            <a:t>の品質評価として評価件数を表示します</a:t>
          </a:r>
        </a:p>
      </xdr:txBody>
    </xdr:sp>
    <xdr:clientData/>
  </xdr:twoCellAnchor>
  <xdr:twoCellAnchor>
    <xdr:from>
      <xdr:col>53</xdr:col>
      <xdr:colOff>47626</xdr:colOff>
      <xdr:row>8</xdr:row>
      <xdr:rowOff>38100</xdr:rowOff>
    </xdr:from>
    <xdr:to>
      <xdr:col>54</xdr:col>
      <xdr:colOff>466725</xdr:colOff>
      <xdr:row>14</xdr:row>
      <xdr:rowOff>47625</xdr:rowOff>
    </xdr:to>
    <xdr:sp macro="" textlink="">
      <xdr:nvSpPr>
        <xdr:cNvPr id="62" name="四角形: 角を丸くする 61">
          <a:extLst>
            <a:ext uri="{FF2B5EF4-FFF2-40B4-BE49-F238E27FC236}">
              <a16:creationId xmlns:a16="http://schemas.microsoft.com/office/drawing/2014/main" id="{00000000-0008-0000-0100-00003E000000}"/>
            </a:ext>
          </a:extLst>
        </xdr:cNvPr>
        <xdr:cNvSpPr/>
      </xdr:nvSpPr>
      <xdr:spPr>
        <a:xfrm>
          <a:off x="29260801" y="1714500"/>
          <a:ext cx="923924" cy="1228725"/>
        </a:xfrm>
        <a:prstGeom prst="roundRect">
          <a:avLst>
            <a:gd name="adj" fmla="val 6667"/>
          </a:avLst>
        </a:prstGeom>
        <a:noFill/>
        <a:ln w="2222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52</xdr:col>
      <xdr:colOff>714376</xdr:colOff>
      <xdr:row>15</xdr:row>
      <xdr:rowOff>9525</xdr:rowOff>
    </xdr:from>
    <xdr:to>
      <xdr:col>54</xdr:col>
      <xdr:colOff>447676</xdr:colOff>
      <xdr:row>19</xdr:row>
      <xdr:rowOff>85724</xdr:rowOff>
    </xdr:to>
    <xdr:sp macro="" textlink="">
      <xdr:nvSpPr>
        <xdr:cNvPr id="63" name="吹き出し: 角を丸めた四角形 62">
          <a:extLst>
            <a:ext uri="{FF2B5EF4-FFF2-40B4-BE49-F238E27FC236}">
              <a16:creationId xmlns:a16="http://schemas.microsoft.com/office/drawing/2014/main" id="{00000000-0008-0000-0100-00003F000000}"/>
            </a:ext>
          </a:extLst>
        </xdr:cNvPr>
        <xdr:cNvSpPr/>
      </xdr:nvSpPr>
      <xdr:spPr>
        <a:xfrm>
          <a:off x="29003626" y="3086100"/>
          <a:ext cx="1162050" cy="800099"/>
        </a:xfrm>
        <a:prstGeom prst="wedgeRoundRectCallout">
          <a:avLst>
            <a:gd name="adj1" fmla="val -15254"/>
            <a:gd name="adj2" fmla="val -69334"/>
            <a:gd name="adj3" fmla="val 16667"/>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lIns="36000" tIns="36000" rIns="36000" bIns="36000" rtlCol="0" anchor="t"/>
        <a:lstStyle/>
        <a:p>
          <a:pPr algn="l"/>
          <a:r>
            <a:rPr kumimoji="1" lang="ja-JP" altLang="en-US" sz="1000">
              <a:latin typeface="Meiryo UI" panose="020B0604030504040204" pitchFamily="50" charset="-128"/>
              <a:ea typeface="Meiryo UI" panose="020B0604030504040204" pitchFamily="50" charset="-128"/>
            </a:rPr>
            <a:t>確認を入力すると品質評価から除外して評価します</a:t>
          </a:r>
        </a:p>
      </xdr:txBody>
    </xdr:sp>
    <xdr:clientData/>
  </xdr:twoCellAnchor>
  <xdr:twoCellAnchor>
    <xdr:from>
      <xdr:col>61</xdr:col>
      <xdr:colOff>19049</xdr:colOff>
      <xdr:row>2</xdr:row>
      <xdr:rowOff>190500</xdr:rowOff>
    </xdr:from>
    <xdr:to>
      <xdr:col>63</xdr:col>
      <xdr:colOff>200024</xdr:colOff>
      <xdr:row>5</xdr:row>
      <xdr:rowOff>85725</xdr:rowOff>
    </xdr:to>
    <xdr:sp macro="" textlink="">
      <xdr:nvSpPr>
        <xdr:cNvPr id="64" name="吹き出し: 角を丸めた四角形 63">
          <a:extLst>
            <a:ext uri="{FF2B5EF4-FFF2-40B4-BE49-F238E27FC236}">
              <a16:creationId xmlns:a16="http://schemas.microsoft.com/office/drawing/2014/main" id="{00000000-0008-0000-0100-000040000000}"/>
            </a:ext>
          </a:extLst>
        </xdr:cNvPr>
        <xdr:cNvSpPr/>
      </xdr:nvSpPr>
      <xdr:spPr>
        <a:xfrm>
          <a:off x="33632774" y="438150"/>
          <a:ext cx="1514475" cy="571500"/>
        </a:xfrm>
        <a:prstGeom prst="wedgeRoundRectCallout">
          <a:avLst>
            <a:gd name="adj1" fmla="val -96839"/>
            <a:gd name="adj2" fmla="val 5887"/>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t"/>
        <a:lstStyle/>
        <a:p>
          <a:pPr algn="l"/>
          <a:r>
            <a:rPr kumimoji="1" lang="en-US" altLang="ja-JP" sz="1000">
              <a:latin typeface="Meiryo UI" panose="020B0604030504040204" pitchFamily="50" charset="-128"/>
              <a:ea typeface="Meiryo UI" panose="020B0604030504040204" pitchFamily="50" charset="-128"/>
            </a:rPr>
            <a:t>PCL</a:t>
          </a:r>
          <a:r>
            <a:rPr kumimoji="1" lang="ja-JP" altLang="en-US" sz="1000">
              <a:latin typeface="Meiryo UI" panose="020B0604030504040204" pitchFamily="50" charset="-128"/>
              <a:ea typeface="Meiryo UI" panose="020B0604030504040204" pitchFamily="50" charset="-128"/>
            </a:rPr>
            <a:t>の品質比率目安を％で入力します</a:t>
          </a:r>
        </a:p>
      </xdr:txBody>
    </xdr:sp>
    <xdr:clientData/>
  </xdr:twoCellAnchor>
  <xdr:twoCellAnchor>
    <xdr:from>
      <xdr:col>56</xdr:col>
      <xdr:colOff>0</xdr:colOff>
      <xdr:row>2</xdr:row>
      <xdr:rowOff>238125</xdr:rowOff>
    </xdr:from>
    <xdr:to>
      <xdr:col>60</xdr:col>
      <xdr:colOff>0</xdr:colOff>
      <xdr:row>4</xdr:row>
      <xdr:rowOff>76200</xdr:rowOff>
    </xdr:to>
    <xdr:sp macro="" textlink="">
      <xdr:nvSpPr>
        <xdr:cNvPr id="65" name="四角形: 角を丸くする 64">
          <a:extLst>
            <a:ext uri="{FF2B5EF4-FFF2-40B4-BE49-F238E27FC236}">
              <a16:creationId xmlns:a16="http://schemas.microsoft.com/office/drawing/2014/main" id="{00000000-0008-0000-0100-000041000000}"/>
            </a:ext>
          </a:extLst>
        </xdr:cNvPr>
        <xdr:cNvSpPr/>
      </xdr:nvSpPr>
      <xdr:spPr>
        <a:xfrm>
          <a:off x="30279975" y="485775"/>
          <a:ext cx="2667000" cy="333375"/>
        </a:xfrm>
        <a:prstGeom prst="roundRect">
          <a:avLst>
            <a:gd name="adj" fmla="val 3764"/>
          </a:avLst>
        </a:prstGeom>
        <a:noFill/>
        <a:ln w="2222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56</xdr:col>
      <xdr:colOff>47625</xdr:colOff>
      <xdr:row>8</xdr:row>
      <xdr:rowOff>38100</xdr:rowOff>
    </xdr:from>
    <xdr:to>
      <xdr:col>59</xdr:col>
      <xdr:colOff>619125</xdr:colOff>
      <xdr:row>14</xdr:row>
      <xdr:rowOff>38101</xdr:rowOff>
    </xdr:to>
    <xdr:sp macro="" textlink="">
      <xdr:nvSpPr>
        <xdr:cNvPr id="66" name="四角形: 角を丸くする 65">
          <a:extLst>
            <a:ext uri="{FF2B5EF4-FFF2-40B4-BE49-F238E27FC236}">
              <a16:creationId xmlns:a16="http://schemas.microsoft.com/office/drawing/2014/main" id="{00000000-0008-0000-0100-000042000000}"/>
            </a:ext>
          </a:extLst>
        </xdr:cNvPr>
        <xdr:cNvSpPr/>
      </xdr:nvSpPr>
      <xdr:spPr>
        <a:xfrm>
          <a:off x="30327600" y="1714500"/>
          <a:ext cx="2571750" cy="1219201"/>
        </a:xfrm>
        <a:prstGeom prst="roundRect">
          <a:avLst>
            <a:gd name="adj" fmla="val 3885"/>
          </a:avLst>
        </a:prstGeom>
        <a:noFill/>
        <a:ln w="2222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56</xdr:col>
      <xdr:colOff>419099</xdr:colOff>
      <xdr:row>15</xdr:row>
      <xdr:rowOff>19050</xdr:rowOff>
    </xdr:from>
    <xdr:to>
      <xdr:col>58</xdr:col>
      <xdr:colOff>657225</xdr:colOff>
      <xdr:row>20</xdr:row>
      <xdr:rowOff>19050</xdr:rowOff>
    </xdr:to>
    <xdr:sp macro="" textlink="">
      <xdr:nvSpPr>
        <xdr:cNvPr id="67" name="吹き出し: 角を丸めた四角形 66">
          <a:extLst>
            <a:ext uri="{FF2B5EF4-FFF2-40B4-BE49-F238E27FC236}">
              <a16:creationId xmlns:a16="http://schemas.microsoft.com/office/drawing/2014/main" id="{00000000-0008-0000-0100-000043000000}"/>
            </a:ext>
          </a:extLst>
        </xdr:cNvPr>
        <xdr:cNvSpPr/>
      </xdr:nvSpPr>
      <xdr:spPr>
        <a:xfrm>
          <a:off x="30699074" y="3095625"/>
          <a:ext cx="1571626" cy="904875"/>
        </a:xfrm>
        <a:prstGeom prst="wedgeRoundRectCallout">
          <a:avLst>
            <a:gd name="adj1" fmla="val -29270"/>
            <a:gd name="adj2" fmla="val -68723"/>
            <a:gd name="adj3" fmla="val 16667"/>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lIns="36000" tIns="36000" rIns="36000" bIns="36000" rtlCol="0" anchor="t"/>
        <a:lstStyle/>
        <a:p>
          <a:pPr algn="l"/>
          <a:r>
            <a:rPr kumimoji="1" lang="ja-JP" altLang="en-US" sz="1000">
              <a:latin typeface="Meiryo UI" panose="020B0604030504040204" pitchFamily="50" charset="-128"/>
              <a:ea typeface="Meiryo UI" panose="020B0604030504040204" pitchFamily="50" charset="-128"/>
            </a:rPr>
            <a:t>見積規模</a:t>
          </a:r>
          <a:r>
            <a:rPr kumimoji="1" lang="en-US" altLang="ja-JP" sz="1000">
              <a:latin typeface="Meiryo UI" panose="020B0604030504040204" pitchFamily="50" charset="-128"/>
              <a:ea typeface="Meiryo UI" panose="020B0604030504040204" pitchFamily="50" charset="-128"/>
            </a:rPr>
            <a:t>(Ks)</a:t>
          </a:r>
          <a:r>
            <a:rPr kumimoji="1" lang="ja-JP" altLang="en-US" sz="1000">
              <a:latin typeface="Meiryo UI" panose="020B0604030504040204" pitchFamily="50" charset="-128"/>
              <a:ea typeface="Meiryo UI" panose="020B0604030504040204" pitchFamily="50" charset="-128"/>
            </a:rPr>
            <a:t>より算出された</a:t>
          </a:r>
          <a:r>
            <a:rPr kumimoji="1" lang="en-US" altLang="ja-JP" sz="1000">
              <a:latin typeface="Meiryo UI" panose="020B0604030504040204" pitchFamily="50" charset="-128"/>
              <a:ea typeface="Meiryo UI" panose="020B0604030504040204" pitchFamily="50" charset="-128"/>
            </a:rPr>
            <a:t>PCL</a:t>
          </a:r>
          <a:r>
            <a:rPr kumimoji="1" lang="ja-JP" altLang="en-US" sz="1000">
              <a:latin typeface="Meiryo UI" panose="020B0604030504040204" pitchFamily="50" charset="-128"/>
              <a:ea typeface="Meiryo UI" panose="020B0604030504040204" pitchFamily="50" charset="-128"/>
            </a:rPr>
            <a:t>件数</a:t>
          </a:r>
          <a:r>
            <a:rPr kumimoji="1" lang="en-US" altLang="ja-JP" sz="1000">
              <a:latin typeface="Meiryo UI" panose="020B0604030504040204" pitchFamily="50" charset="-128"/>
              <a:ea typeface="Meiryo UI" panose="020B0604030504040204" pitchFamily="50" charset="-128"/>
            </a:rPr>
            <a:t>(</a:t>
          </a:r>
          <a:r>
            <a:rPr kumimoji="1" lang="ja-JP" altLang="en-US" sz="1000">
              <a:latin typeface="Meiryo UI" panose="020B0604030504040204" pitchFamily="50" charset="-128"/>
              <a:ea typeface="Meiryo UI" panose="020B0604030504040204" pitchFamily="50" charset="-128"/>
            </a:rPr>
            <a:t>下限値</a:t>
          </a:r>
          <a:r>
            <a:rPr kumimoji="1" lang="en-US" altLang="ja-JP" sz="1000">
              <a:latin typeface="Meiryo UI" panose="020B0604030504040204" pitchFamily="50" charset="-128"/>
              <a:ea typeface="Meiryo UI" panose="020B0604030504040204" pitchFamily="50" charset="-128"/>
            </a:rPr>
            <a:t>)</a:t>
          </a:r>
          <a:r>
            <a:rPr kumimoji="1" lang="ja-JP" altLang="en-US" sz="1000">
              <a:latin typeface="Meiryo UI" panose="020B0604030504040204" pitchFamily="50" charset="-128"/>
              <a:ea typeface="Meiryo UI" panose="020B0604030504040204" pitchFamily="50" charset="-128"/>
            </a:rPr>
            <a:t>が表示されます</a:t>
          </a:r>
        </a:p>
      </xdr:txBody>
    </xdr:sp>
    <xdr:clientData/>
  </xdr:twoCellAnchor>
  <xdr:twoCellAnchor>
    <xdr:from>
      <xdr:col>61</xdr:col>
      <xdr:colOff>38100</xdr:colOff>
      <xdr:row>8</xdr:row>
      <xdr:rowOff>28575</xdr:rowOff>
    </xdr:from>
    <xdr:to>
      <xdr:col>64</xdr:col>
      <xdr:colOff>609600</xdr:colOff>
      <xdr:row>14</xdr:row>
      <xdr:rowOff>28576</xdr:rowOff>
    </xdr:to>
    <xdr:sp macro="" textlink="">
      <xdr:nvSpPr>
        <xdr:cNvPr id="68" name="四角形: 角を丸くする 67">
          <a:extLst>
            <a:ext uri="{FF2B5EF4-FFF2-40B4-BE49-F238E27FC236}">
              <a16:creationId xmlns:a16="http://schemas.microsoft.com/office/drawing/2014/main" id="{00000000-0008-0000-0100-000044000000}"/>
            </a:ext>
          </a:extLst>
        </xdr:cNvPr>
        <xdr:cNvSpPr/>
      </xdr:nvSpPr>
      <xdr:spPr>
        <a:xfrm>
          <a:off x="33651825" y="1704975"/>
          <a:ext cx="2571750" cy="1219201"/>
        </a:xfrm>
        <a:prstGeom prst="roundRect">
          <a:avLst>
            <a:gd name="adj" fmla="val 3885"/>
          </a:avLst>
        </a:prstGeom>
        <a:noFill/>
        <a:ln w="2222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61</xdr:col>
      <xdr:colOff>409574</xdr:colOff>
      <xdr:row>15</xdr:row>
      <xdr:rowOff>9525</xdr:rowOff>
    </xdr:from>
    <xdr:to>
      <xdr:col>63</xdr:col>
      <xdr:colOff>647700</xdr:colOff>
      <xdr:row>20</xdr:row>
      <xdr:rowOff>9525</xdr:rowOff>
    </xdr:to>
    <xdr:sp macro="" textlink="">
      <xdr:nvSpPr>
        <xdr:cNvPr id="69" name="吹き出し: 角を丸めた四角形 68">
          <a:extLst>
            <a:ext uri="{FF2B5EF4-FFF2-40B4-BE49-F238E27FC236}">
              <a16:creationId xmlns:a16="http://schemas.microsoft.com/office/drawing/2014/main" id="{00000000-0008-0000-0100-000045000000}"/>
            </a:ext>
          </a:extLst>
        </xdr:cNvPr>
        <xdr:cNvSpPr/>
      </xdr:nvSpPr>
      <xdr:spPr>
        <a:xfrm>
          <a:off x="34023299" y="3086100"/>
          <a:ext cx="1571626" cy="904875"/>
        </a:xfrm>
        <a:prstGeom prst="wedgeRoundRectCallout">
          <a:avLst>
            <a:gd name="adj1" fmla="val -29270"/>
            <a:gd name="adj2" fmla="val -68723"/>
            <a:gd name="adj3" fmla="val 16667"/>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lIns="36000" tIns="36000" rIns="36000" bIns="36000" rtlCol="0" anchor="t"/>
        <a:lstStyle/>
        <a:p>
          <a:pPr algn="l"/>
          <a:r>
            <a:rPr kumimoji="1" lang="ja-JP" altLang="en-US" sz="1000">
              <a:latin typeface="Meiryo UI" panose="020B0604030504040204" pitchFamily="50" charset="-128"/>
              <a:ea typeface="Meiryo UI" panose="020B0604030504040204" pitchFamily="50" charset="-128"/>
            </a:rPr>
            <a:t>実績規模</a:t>
          </a:r>
          <a:r>
            <a:rPr kumimoji="1" lang="en-US" altLang="ja-JP" sz="1000">
              <a:latin typeface="Meiryo UI" panose="020B0604030504040204" pitchFamily="50" charset="-128"/>
              <a:ea typeface="Meiryo UI" panose="020B0604030504040204" pitchFamily="50" charset="-128"/>
            </a:rPr>
            <a:t>(Ks)</a:t>
          </a:r>
          <a:r>
            <a:rPr kumimoji="1" lang="ja-JP" altLang="en-US" sz="1000">
              <a:latin typeface="Meiryo UI" panose="020B0604030504040204" pitchFamily="50" charset="-128"/>
              <a:ea typeface="Meiryo UI" panose="020B0604030504040204" pitchFamily="50" charset="-128"/>
            </a:rPr>
            <a:t>より算出された</a:t>
          </a:r>
          <a:r>
            <a:rPr kumimoji="1" lang="en-US" altLang="ja-JP" sz="1000">
              <a:latin typeface="Meiryo UI" panose="020B0604030504040204" pitchFamily="50" charset="-128"/>
              <a:ea typeface="Meiryo UI" panose="020B0604030504040204" pitchFamily="50" charset="-128"/>
            </a:rPr>
            <a:t>PCL</a:t>
          </a:r>
          <a:r>
            <a:rPr kumimoji="1" lang="ja-JP" altLang="en-US" sz="1000">
              <a:latin typeface="Meiryo UI" panose="020B0604030504040204" pitchFamily="50" charset="-128"/>
              <a:ea typeface="Meiryo UI" panose="020B0604030504040204" pitchFamily="50" charset="-128"/>
            </a:rPr>
            <a:t>件数</a:t>
          </a:r>
          <a:r>
            <a:rPr kumimoji="1" lang="en-US" altLang="ja-JP" sz="1000">
              <a:latin typeface="Meiryo UI" panose="020B0604030504040204" pitchFamily="50" charset="-128"/>
              <a:ea typeface="Meiryo UI" panose="020B0604030504040204" pitchFamily="50" charset="-128"/>
            </a:rPr>
            <a:t>(</a:t>
          </a:r>
          <a:r>
            <a:rPr kumimoji="1" lang="ja-JP" altLang="en-US" sz="1000">
              <a:latin typeface="Meiryo UI" panose="020B0604030504040204" pitchFamily="50" charset="-128"/>
              <a:ea typeface="Meiryo UI" panose="020B0604030504040204" pitchFamily="50" charset="-128"/>
            </a:rPr>
            <a:t>下限値</a:t>
          </a:r>
          <a:r>
            <a:rPr kumimoji="1" lang="en-US" altLang="ja-JP" sz="1000">
              <a:latin typeface="Meiryo UI" panose="020B0604030504040204" pitchFamily="50" charset="-128"/>
              <a:ea typeface="Meiryo UI" panose="020B0604030504040204" pitchFamily="50" charset="-128"/>
            </a:rPr>
            <a:t>)</a:t>
          </a:r>
          <a:r>
            <a:rPr kumimoji="1" lang="ja-JP" altLang="en-US" sz="1000">
              <a:latin typeface="Meiryo UI" panose="020B0604030504040204" pitchFamily="50" charset="-128"/>
              <a:ea typeface="Meiryo UI" panose="020B0604030504040204" pitchFamily="50" charset="-128"/>
            </a:rPr>
            <a:t>が表示されます</a:t>
          </a:r>
        </a:p>
      </xdr:txBody>
    </xdr:sp>
    <xdr:clientData/>
  </xdr:twoCellAnchor>
  <xdr:twoCellAnchor>
    <xdr:from>
      <xdr:col>66</xdr:col>
      <xdr:colOff>57150</xdr:colOff>
      <xdr:row>8</xdr:row>
      <xdr:rowOff>19050</xdr:rowOff>
    </xdr:from>
    <xdr:to>
      <xdr:col>69</xdr:col>
      <xdr:colOff>628650</xdr:colOff>
      <xdr:row>14</xdr:row>
      <xdr:rowOff>19051</xdr:rowOff>
    </xdr:to>
    <xdr:sp macro="" textlink="">
      <xdr:nvSpPr>
        <xdr:cNvPr id="70" name="四角形: 角を丸くする 69">
          <a:extLst>
            <a:ext uri="{FF2B5EF4-FFF2-40B4-BE49-F238E27FC236}">
              <a16:creationId xmlns:a16="http://schemas.microsoft.com/office/drawing/2014/main" id="{00000000-0008-0000-0100-000046000000}"/>
            </a:ext>
          </a:extLst>
        </xdr:cNvPr>
        <xdr:cNvSpPr/>
      </xdr:nvSpPr>
      <xdr:spPr>
        <a:xfrm>
          <a:off x="37004625" y="1695450"/>
          <a:ext cx="2571750" cy="1219201"/>
        </a:xfrm>
        <a:prstGeom prst="roundRect">
          <a:avLst>
            <a:gd name="adj" fmla="val 3885"/>
          </a:avLst>
        </a:prstGeom>
        <a:noFill/>
        <a:ln w="2222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66</xdr:col>
      <xdr:colOff>428624</xdr:colOff>
      <xdr:row>15</xdr:row>
      <xdr:rowOff>0</xdr:rowOff>
    </xdr:from>
    <xdr:to>
      <xdr:col>69</xdr:col>
      <xdr:colOff>0</xdr:colOff>
      <xdr:row>20</xdr:row>
      <xdr:rowOff>0</xdr:rowOff>
    </xdr:to>
    <xdr:sp macro="" textlink="">
      <xdr:nvSpPr>
        <xdr:cNvPr id="71" name="吹き出し: 角を丸めた四角形 70">
          <a:extLst>
            <a:ext uri="{FF2B5EF4-FFF2-40B4-BE49-F238E27FC236}">
              <a16:creationId xmlns:a16="http://schemas.microsoft.com/office/drawing/2014/main" id="{00000000-0008-0000-0100-000047000000}"/>
            </a:ext>
          </a:extLst>
        </xdr:cNvPr>
        <xdr:cNvSpPr/>
      </xdr:nvSpPr>
      <xdr:spPr>
        <a:xfrm>
          <a:off x="37376099" y="3076575"/>
          <a:ext cx="1571626" cy="904875"/>
        </a:xfrm>
        <a:prstGeom prst="wedgeRoundRectCallout">
          <a:avLst>
            <a:gd name="adj1" fmla="val -29270"/>
            <a:gd name="adj2" fmla="val -68723"/>
            <a:gd name="adj3" fmla="val 16667"/>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lIns="36000" tIns="36000" rIns="36000" bIns="36000" rtlCol="0" anchor="t"/>
        <a:lstStyle/>
        <a:p>
          <a:pPr algn="l"/>
          <a:r>
            <a:rPr kumimoji="1" lang="ja-JP" altLang="en-US" sz="1000">
              <a:latin typeface="Meiryo UI" panose="020B0604030504040204" pitchFamily="50" charset="-128"/>
              <a:ea typeface="Meiryo UI" panose="020B0604030504040204" pitchFamily="50" charset="-128"/>
            </a:rPr>
            <a:t>機能単位の品質評価シートより単体テストの実績を転記してください</a:t>
          </a:r>
        </a:p>
      </xdr:txBody>
    </xdr:sp>
    <xdr:clientData/>
  </xdr:twoCellAnchor>
  <xdr:twoCellAnchor>
    <xdr:from>
      <xdr:col>28</xdr:col>
      <xdr:colOff>171450</xdr:colOff>
      <xdr:row>26</xdr:row>
      <xdr:rowOff>19050</xdr:rowOff>
    </xdr:from>
    <xdr:to>
      <xdr:col>30</xdr:col>
      <xdr:colOff>285750</xdr:colOff>
      <xdr:row>30</xdr:row>
      <xdr:rowOff>28574</xdr:rowOff>
    </xdr:to>
    <xdr:sp macro="" textlink="">
      <xdr:nvSpPr>
        <xdr:cNvPr id="72" name="吹き出し: 角を丸めた四角形 71">
          <a:extLst>
            <a:ext uri="{FF2B5EF4-FFF2-40B4-BE49-F238E27FC236}">
              <a16:creationId xmlns:a16="http://schemas.microsoft.com/office/drawing/2014/main" id="{00000000-0008-0000-0100-000048000000}"/>
            </a:ext>
          </a:extLst>
        </xdr:cNvPr>
        <xdr:cNvSpPr/>
      </xdr:nvSpPr>
      <xdr:spPr>
        <a:xfrm>
          <a:off x="14735175" y="5114925"/>
          <a:ext cx="1304925" cy="733424"/>
        </a:xfrm>
        <a:prstGeom prst="wedgeRoundRectCallout">
          <a:avLst>
            <a:gd name="adj1" fmla="val 28476"/>
            <a:gd name="adj2" fmla="val -66825"/>
            <a:gd name="adj3" fmla="val 16667"/>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lIns="36000" tIns="36000" rIns="36000" bIns="36000" rtlCol="0" anchor="t"/>
        <a:lstStyle/>
        <a:p>
          <a:pPr algn="l"/>
          <a:r>
            <a:rPr kumimoji="1" lang="en-US" altLang="ja-JP" sz="1000">
              <a:latin typeface="Meiryo UI" panose="020B0604030504040204" pitchFamily="50" charset="-128"/>
              <a:ea typeface="Meiryo UI" panose="020B0604030504040204" pitchFamily="50" charset="-128"/>
            </a:rPr>
            <a:t>PCL</a:t>
          </a:r>
          <a:r>
            <a:rPr kumimoji="1" lang="ja-JP" altLang="en-US" sz="1000">
              <a:latin typeface="Meiryo UI" panose="020B0604030504040204" pitchFamily="50" charset="-128"/>
              <a:ea typeface="Meiryo UI" panose="020B0604030504040204" pitchFamily="50" charset="-128"/>
            </a:rPr>
            <a:t>密度</a:t>
          </a:r>
          <a:r>
            <a:rPr kumimoji="1" lang="en-US" altLang="ja-JP" sz="1000">
              <a:latin typeface="Meiryo UI" panose="020B0604030504040204" pitchFamily="50" charset="-128"/>
              <a:ea typeface="Meiryo UI" panose="020B0604030504040204" pitchFamily="50" charset="-128"/>
            </a:rPr>
            <a:t>(</a:t>
          </a:r>
          <a:r>
            <a:rPr kumimoji="1" lang="ja-JP" altLang="en-US" sz="1000">
              <a:latin typeface="Meiryo UI" panose="020B0604030504040204" pitchFamily="50" charset="-128"/>
              <a:ea typeface="Meiryo UI" panose="020B0604030504040204" pitchFamily="50" charset="-128"/>
            </a:rPr>
            <a:t>件</a:t>
          </a:r>
          <a:r>
            <a:rPr kumimoji="1" lang="en-US" altLang="ja-JP" sz="1000">
              <a:latin typeface="Meiryo UI" panose="020B0604030504040204" pitchFamily="50" charset="-128"/>
              <a:ea typeface="Meiryo UI" panose="020B0604030504040204" pitchFamily="50" charset="-128"/>
            </a:rPr>
            <a:t>/KS)</a:t>
          </a:r>
          <a:r>
            <a:rPr kumimoji="1" lang="ja-JP" altLang="en-US" sz="1000">
              <a:latin typeface="Meiryo UI" panose="020B0604030504040204" pitchFamily="50" charset="-128"/>
              <a:ea typeface="Meiryo UI" panose="020B0604030504040204" pitchFamily="50" charset="-128"/>
            </a:rPr>
            <a:t>より自動計算されます</a:t>
          </a:r>
        </a:p>
      </xdr:txBody>
    </xdr:sp>
    <xdr:clientData/>
  </xdr:twoCellAnchor>
  <xdr:twoCellAnchor>
    <xdr:from>
      <xdr:col>44</xdr:col>
      <xdr:colOff>171450</xdr:colOff>
      <xdr:row>26</xdr:row>
      <xdr:rowOff>9525</xdr:rowOff>
    </xdr:from>
    <xdr:to>
      <xdr:col>46</xdr:col>
      <xdr:colOff>295275</xdr:colOff>
      <xdr:row>30</xdr:row>
      <xdr:rowOff>19049</xdr:rowOff>
    </xdr:to>
    <xdr:sp macro="" textlink="">
      <xdr:nvSpPr>
        <xdr:cNvPr id="73" name="吹き出し: 角を丸めた四角形 72">
          <a:extLst>
            <a:ext uri="{FF2B5EF4-FFF2-40B4-BE49-F238E27FC236}">
              <a16:creationId xmlns:a16="http://schemas.microsoft.com/office/drawing/2014/main" id="{00000000-0008-0000-0100-000049000000}"/>
            </a:ext>
          </a:extLst>
        </xdr:cNvPr>
        <xdr:cNvSpPr/>
      </xdr:nvSpPr>
      <xdr:spPr>
        <a:xfrm>
          <a:off x="24060150" y="5105400"/>
          <a:ext cx="1304925" cy="733424"/>
        </a:xfrm>
        <a:prstGeom prst="wedgeRoundRectCallout">
          <a:avLst>
            <a:gd name="adj1" fmla="val 28476"/>
            <a:gd name="adj2" fmla="val -66825"/>
            <a:gd name="adj3" fmla="val 16667"/>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lIns="36000" tIns="36000" rIns="36000" bIns="36000" rtlCol="0" anchor="t"/>
        <a:lstStyle/>
        <a:p>
          <a:pPr algn="l"/>
          <a:r>
            <a:rPr kumimoji="1" lang="ja-JP" altLang="en-US" sz="1000">
              <a:latin typeface="Meiryo UI" panose="020B0604030504040204" pitchFamily="50" charset="-128"/>
              <a:ea typeface="Meiryo UI" panose="020B0604030504040204" pitchFamily="50" charset="-128"/>
            </a:rPr>
            <a:t>バグ密度</a:t>
          </a:r>
          <a:r>
            <a:rPr kumimoji="1" lang="en-US" altLang="ja-JP" sz="1000">
              <a:latin typeface="Meiryo UI" panose="020B0604030504040204" pitchFamily="50" charset="-128"/>
              <a:ea typeface="Meiryo UI" panose="020B0604030504040204" pitchFamily="50" charset="-128"/>
            </a:rPr>
            <a:t>(</a:t>
          </a:r>
          <a:r>
            <a:rPr kumimoji="1" lang="ja-JP" altLang="en-US" sz="1000">
              <a:latin typeface="Meiryo UI" panose="020B0604030504040204" pitchFamily="50" charset="-128"/>
              <a:ea typeface="Meiryo UI" panose="020B0604030504040204" pitchFamily="50" charset="-128"/>
            </a:rPr>
            <a:t>件</a:t>
          </a:r>
          <a:r>
            <a:rPr kumimoji="1" lang="en-US" altLang="ja-JP" sz="1000">
              <a:latin typeface="Meiryo UI" panose="020B0604030504040204" pitchFamily="50" charset="-128"/>
              <a:ea typeface="Meiryo UI" panose="020B0604030504040204" pitchFamily="50" charset="-128"/>
            </a:rPr>
            <a:t>/KS)</a:t>
          </a:r>
          <a:r>
            <a:rPr kumimoji="1" lang="ja-JP" altLang="en-US" sz="1000">
              <a:latin typeface="Meiryo UI" panose="020B0604030504040204" pitchFamily="50" charset="-128"/>
              <a:ea typeface="Meiryo UI" panose="020B0604030504040204" pitchFamily="50" charset="-128"/>
            </a:rPr>
            <a:t>より自動計算されます</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123825</xdr:colOff>
          <xdr:row>11</xdr:row>
          <xdr:rowOff>19050</xdr:rowOff>
        </xdr:from>
        <xdr:to>
          <xdr:col>2</xdr:col>
          <xdr:colOff>1171575</xdr:colOff>
          <xdr:row>13</xdr:row>
          <xdr:rowOff>38100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非表示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14</xdr:row>
          <xdr:rowOff>0</xdr:rowOff>
        </xdr:from>
        <xdr:to>
          <xdr:col>2</xdr:col>
          <xdr:colOff>1152525</xdr:colOff>
          <xdr:row>16</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表示</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ZHAOLIN, LANG" id="{CB0367F1-E9C7-44FA-87A9-EAE2A2BF1314}" userId="S::zllang@hdis.com.cn::cb5b65c9-ff4a-4cea-8a26-ffce6da6fd35" providerId="AD"/>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t"/>
      <a:lstStyle>
        <a:defPPr algn="l">
          <a:defRPr kumimoji="1" sz="1100">
            <a:latin typeface="Meiryo UI" panose="020B0604030504040204" pitchFamily="50" charset="-128"/>
            <a:ea typeface="Meiryo UI" panose="020B0604030504040204" pitchFamily="50" charset="-128"/>
            <a:cs typeface="Meiryo UI" panose="020B0604030504040204" pitchFamily="50" charset="-128"/>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C7" dT="2023-03-20T08:25:52.83" personId="{CB0367F1-E9C7-44FA-87A9-EAE2A2BF1314}" id="{AA0ADB84-922E-492D-BB0F-9282ABE5F3B2}">
    <text>時間数 / 8</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BDF1EC"/>
    <pageSetUpPr fitToPage="1"/>
  </sheetPr>
  <dimension ref="A1:CF42"/>
  <sheetViews>
    <sheetView showGridLines="0" tabSelected="1" topLeftCell="B2" zoomScale="85" zoomScaleNormal="85" zoomScaleSheetLayoutView="85" workbookViewId="0">
      <pane xSplit="5" ySplit="7" topLeftCell="G9" activePane="bottomRight" state="frozen"/>
      <selection pane="topRight" activeCell="G2" sqref="G2"/>
      <selection pane="bottomLeft" activeCell="B9" sqref="B9"/>
      <selection pane="bottomRight" activeCell="D4" sqref="D4"/>
    </sheetView>
  </sheetViews>
  <sheetFormatPr defaultColWidth="8.88671875" defaultRowHeight="14.25"/>
  <cols>
    <col min="1" max="1" width="4.77734375" style="73" hidden="1" customWidth="1"/>
    <col min="2" max="2" width="2.77734375" style="2" customWidth="1"/>
    <col min="3" max="3" width="7.77734375" style="2" hidden="1" customWidth="1"/>
    <col min="4" max="4" width="8" style="2" customWidth="1"/>
    <col min="5" max="5" width="22.88671875" style="2" customWidth="1"/>
    <col min="6" max="6" width="30.6640625" style="2" customWidth="1"/>
    <col min="7" max="7" width="4.44140625" style="2" customWidth="1"/>
    <col min="8" max="8" width="4.109375" style="2" customWidth="1"/>
    <col min="9" max="9" width="4.77734375" style="2" customWidth="1"/>
    <col min="10" max="10" width="5.6640625" style="2" hidden="1" customWidth="1"/>
    <col min="11" max="11" width="5" style="3" hidden="1" customWidth="1"/>
    <col min="12" max="12" width="4.5546875" style="3" hidden="1" customWidth="1"/>
    <col min="13" max="13" width="3.44140625" style="4" hidden="1" customWidth="1"/>
    <col min="14" max="14" width="9" style="4" customWidth="1"/>
    <col min="15" max="18" width="8.5546875" style="5" hidden="1" customWidth="1"/>
    <col min="19" max="19" width="5.88671875" style="4" hidden="1" customWidth="1"/>
    <col min="20" max="20" width="4.44140625" style="6" hidden="1" customWidth="1"/>
    <col min="21" max="21" width="5.77734375" style="4" hidden="1" customWidth="1"/>
    <col min="22" max="22" width="5.88671875" style="4" hidden="1" customWidth="1"/>
    <col min="23" max="23" width="5.88671875" style="5" hidden="1" customWidth="1"/>
    <col min="24" max="25" width="4.33203125" style="5" hidden="1" customWidth="1"/>
    <col min="26" max="26" width="4.77734375" style="5" hidden="1" customWidth="1"/>
    <col min="27" max="27" width="4.5546875" style="5" hidden="1" customWidth="1"/>
    <col min="28" max="28" width="6.21875" style="6" hidden="1" customWidth="1"/>
    <col min="29" max="29" width="5.21875" style="5" hidden="1" customWidth="1"/>
    <col min="30" max="30" width="5.6640625" style="4" hidden="1" customWidth="1"/>
    <col min="31" max="31" width="5.109375" style="4" hidden="1" customWidth="1"/>
    <col min="32" max="32" width="5.77734375" style="4" hidden="1" customWidth="1"/>
    <col min="33" max="33" width="8.33203125" style="4" hidden="1" customWidth="1"/>
    <col min="34" max="34" width="3.5546875" style="4" hidden="1" customWidth="1"/>
    <col min="35" max="35" width="5.5546875" style="4" hidden="1" customWidth="1"/>
    <col min="36" max="37" width="6.44140625" style="4" hidden="1" customWidth="1"/>
    <col min="38" max="38" width="5.88671875" style="6" hidden="1" customWidth="1"/>
    <col min="39" max="42" width="6.44140625" style="4" hidden="1" customWidth="1"/>
    <col min="43" max="45" width="3.21875" style="4" hidden="1" customWidth="1"/>
    <col min="46" max="46" width="3.21875" style="5" hidden="1" customWidth="1"/>
    <col min="47" max="47" width="5.21875" style="5" customWidth="1"/>
    <col min="48" max="48" width="5" style="5" customWidth="1"/>
    <col min="49" max="49" width="6" style="4" customWidth="1"/>
    <col min="50" max="50" width="5.5546875" style="6" customWidth="1"/>
    <col min="51" max="51" width="5.88671875" style="4" customWidth="1"/>
    <col min="52" max="52" width="5.77734375" style="2" customWidth="1"/>
    <col min="53" max="53" width="6.33203125" style="2" customWidth="1"/>
    <col min="54" max="54" width="5.88671875" style="4" customWidth="1"/>
    <col min="55" max="55" width="5.109375" style="2" customWidth="1"/>
    <col min="56" max="56" width="8.33203125" style="4" customWidth="1"/>
    <col min="57" max="57" width="3.77734375" style="4" customWidth="1"/>
    <col min="58" max="58" width="5.33203125" style="4" customWidth="1"/>
    <col min="59" max="59" width="5.44140625" style="4" customWidth="1"/>
    <col min="60" max="63" width="7.5546875" style="4" customWidth="1"/>
    <col min="64" max="66" width="3.21875" style="4" hidden="1" customWidth="1"/>
    <col min="67" max="67" width="3.21875" style="2" hidden="1" customWidth="1"/>
    <col min="68" max="68" width="0.6640625" style="2" customWidth="1"/>
    <col min="69" max="73" width="7" style="2" customWidth="1"/>
    <col min="74" max="78" width="6.5546875" style="2" customWidth="1"/>
    <col min="79" max="82" width="6.88671875" style="2" customWidth="1"/>
    <col min="83" max="83" width="7.77734375" style="2" customWidth="1"/>
    <col min="84" max="84" width="7.44140625" style="2" bestFit="1" customWidth="1"/>
    <col min="85" max="16384" width="8.88671875" style="2"/>
  </cols>
  <sheetData>
    <row r="1" spans="1:84" s="72" customFormat="1" ht="8.25" hidden="1" customHeight="1">
      <c r="A1" s="70"/>
      <c r="B1" s="71">
        <f>COLUMN()</f>
        <v>2</v>
      </c>
      <c r="C1" s="71">
        <f>COLUMN()</f>
        <v>3</v>
      </c>
      <c r="D1" s="71">
        <f>COLUMN()</f>
        <v>4</v>
      </c>
      <c r="E1" s="71">
        <f>COLUMN()</f>
        <v>5</v>
      </c>
      <c r="F1" s="71">
        <f>COLUMN()</f>
        <v>6</v>
      </c>
      <c r="G1" s="71">
        <f>COLUMN()</f>
        <v>7</v>
      </c>
      <c r="H1" s="71">
        <f>COLUMN()</f>
        <v>8</v>
      </c>
      <c r="I1" s="71">
        <f>COLUMN()</f>
        <v>9</v>
      </c>
      <c r="J1" s="71">
        <f>COLUMN()</f>
        <v>10</v>
      </c>
      <c r="K1" s="71">
        <f>COLUMN()</f>
        <v>11</v>
      </c>
      <c r="L1" s="71">
        <f>COLUMN()</f>
        <v>12</v>
      </c>
      <c r="M1" s="71">
        <f>COLUMN()</f>
        <v>13</v>
      </c>
      <c r="N1" s="71">
        <f>COLUMN()</f>
        <v>14</v>
      </c>
      <c r="O1" s="71">
        <f>COLUMN()</f>
        <v>15</v>
      </c>
      <c r="P1" s="71">
        <f>COLUMN()</f>
        <v>16</v>
      </c>
      <c r="Q1" s="71">
        <f>COLUMN()</f>
        <v>17</v>
      </c>
      <c r="R1" s="71">
        <f>COLUMN()</f>
        <v>18</v>
      </c>
      <c r="S1" s="71">
        <f>COLUMN()</f>
        <v>19</v>
      </c>
      <c r="T1" s="71">
        <f>COLUMN()</f>
        <v>20</v>
      </c>
      <c r="U1" s="71">
        <f>COLUMN()</f>
        <v>21</v>
      </c>
      <c r="V1" s="71">
        <f>COLUMN()</f>
        <v>22</v>
      </c>
      <c r="W1" s="71">
        <f>COLUMN()</f>
        <v>23</v>
      </c>
      <c r="X1" s="71">
        <f>COLUMN()</f>
        <v>24</v>
      </c>
      <c r="Y1" s="71">
        <f>COLUMN()</f>
        <v>25</v>
      </c>
      <c r="Z1" s="71">
        <f>COLUMN()</f>
        <v>26</v>
      </c>
      <c r="AA1" s="71">
        <f>COLUMN()</f>
        <v>27</v>
      </c>
      <c r="AB1" s="71">
        <f>COLUMN()</f>
        <v>28</v>
      </c>
      <c r="AC1" s="71">
        <f>COLUMN()</f>
        <v>29</v>
      </c>
      <c r="AD1" s="71">
        <f>COLUMN()</f>
        <v>30</v>
      </c>
      <c r="AE1" s="71"/>
      <c r="AF1" s="71">
        <f>COLUMN()</f>
        <v>32</v>
      </c>
      <c r="AG1" s="71">
        <f>COLUMN()</f>
        <v>33</v>
      </c>
      <c r="AH1" s="71"/>
      <c r="AI1" s="71">
        <f>COLUMN()</f>
        <v>35</v>
      </c>
      <c r="AJ1" s="71">
        <f>COLUMN()</f>
        <v>36</v>
      </c>
      <c r="AK1" s="71">
        <f>COLUMN()</f>
        <v>37</v>
      </c>
      <c r="AL1" s="71">
        <f>COLUMN()</f>
        <v>38</v>
      </c>
      <c r="AM1" s="71">
        <f>COLUMN()</f>
        <v>39</v>
      </c>
      <c r="AN1" s="71">
        <f>COLUMN()</f>
        <v>40</v>
      </c>
      <c r="AO1" s="71">
        <f>COLUMN()</f>
        <v>41</v>
      </c>
      <c r="AP1" s="71">
        <f>COLUMN()</f>
        <v>42</v>
      </c>
      <c r="AQ1" s="71"/>
      <c r="AR1" s="71"/>
      <c r="AS1" s="71">
        <f>COLUMN()</f>
        <v>45</v>
      </c>
      <c r="AT1" s="71">
        <f>COLUMN()</f>
        <v>46</v>
      </c>
      <c r="AU1" s="71">
        <f>COLUMN()</f>
        <v>47</v>
      </c>
      <c r="AV1" s="71">
        <f>COLUMN()</f>
        <v>48</v>
      </c>
      <c r="AW1" s="71">
        <f>COLUMN()</f>
        <v>49</v>
      </c>
      <c r="AX1" s="71">
        <f>COLUMN()</f>
        <v>50</v>
      </c>
      <c r="AY1" s="71">
        <f>COLUMN()</f>
        <v>51</v>
      </c>
      <c r="AZ1" s="71">
        <f>COLUMN()</f>
        <v>52</v>
      </c>
      <c r="BA1" s="71">
        <f>COLUMN()</f>
        <v>53</v>
      </c>
      <c r="BB1" s="71"/>
      <c r="BC1" s="71">
        <f>COLUMN()</f>
        <v>55</v>
      </c>
      <c r="BD1" s="71">
        <f>COLUMN()</f>
        <v>56</v>
      </c>
      <c r="BE1" s="71"/>
      <c r="BF1" s="71">
        <f>COLUMN()</f>
        <v>58</v>
      </c>
      <c r="BG1" s="71">
        <f>COLUMN()</f>
        <v>59</v>
      </c>
      <c r="BH1" s="71">
        <f>COLUMN()</f>
        <v>60</v>
      </c>
      <c r="BI1" s="71">
        <f>COLUMN()</f>
        <v>61</v>
      </c>
      <c r="BJ1" s="71">
        <f>COLUMN()</f>
        <v>62</v>
      </c>
      <c r="BK1" s="71">
        <f>COLUMN()</f>
        <v>63</v>
      </c>
      <c r="BL1" s="71"/>
      <c r="BM1" s="71"/>
      <c r="BN1" s="71">
        <f>COLUMN()</f>
        <v>66</v>
      </c>
      <c r="BO1" s="71">
        <f>COLUMN()</f>
        <v>67</v>
      </c>
      <c r="BQ1" s="121">
        <f>COLUMN()</f>
        <v>69</v>
      </c>
      <c r="BR1" s="121">
        <f>COLUMN()</f>
        <v>70</v>
      </c>
      <c r="BS1" s="121">
        <f>COLUMN()</f>
        <v>71</v>
      </c>
      <c r="BT1" s="121">
        <f>COLUMN()</f>
        <v>72</v>
      </c>
      <c r="BU1" s="121">
        <f>COLUMN()</f>
        <v>73</v>
      </c>
      <c r="BV1" s="121">
        <f>COLUMN()</f>
        <v>74</v>
      </c>
      <c r="BW1" s="121">
        <f>COLUMN()</f>
        <v>75</v>
      </c>
      <c r="BX1" s="121">
        <f>COLUMN()</f>
        <v>76</v>
      </c>
      <c r="BY1" s="121">
        <f>COLUMN()</f>
        <v>77</v>
      </c>
      <c r="BZ1" s="121">
        <f>COLUMN()</f>
        <v>78</v>
      </c>
      <c r="CA1" s="121">
        <f>COLUMN()</f>
        <v>79</v>
      </c>
      <c r="CB1" s="121">
        <f>COLUMN()</f>
        <v>80</v>
      </c>
      <c r="CC1" s="121">
        <f>COLUMN()</f>
        <v>81</v>
      </c>
      <c r="CD1" s="121">
        <f>COLUMN()</f>
        <v>82</v>
      </c>
      <c r="CE1" s="121">
        <f>COLUMN()</f>
        <v>83</v>
      </c>
    </row>
    <row r="2" spans="1:84" ht="21" customHeight="1">
      <c r="A2" s="73">
        <f ca="1">_xlfn.SHEET()</f>
        <v>1</v>
      </c>
      <c r="B2" s="216" t="s">
        <v>0</v>
      </c>
      <c r="C2" s="216"/>
      <c r="D2" s="216"/>
      <c r="E2" s="217"/>
      <c r="F2" s="218"/>
      <c r="G2" s="21"/>
      <c r="H2" s="21"/>
      <c r="I2" s="21"/>
      <c r="J2" s="21"/>
      <c r="K2" s="22"/>
      <c r="L2" s="22"/>
      <c r="M2" s="23"/>
      <c r="N2" s="23"/>
      <c r="O2" s="24"/>
      <c r="P2" s="24"/>
      <c r="Q2" s="24"/>
      <c r="R2" s="24"/>
      <c r="S2" s="23"/>
      <c r="T2" s="25"/>
      <c r="U2" s="23"/>
      <c r="V2" s="23"/>
      <c r="W2" s="24"/>
      <c r="X2" s="24"/>
      <c r="Y2" s="24"/>
      <c r="Z2" s="24"/>
      <c r="AA2" s="24"/>
      <c r="AD2" s="186" t="s">
        <v>1</v>
      </c>
      <c r="AE2" s="186" t="s">
        <v>2</v>
      </c>
      <c r="AF2" s="186" t="s">
        <v>3</v>
      </c>
      <c r="AG2" s="23"/>
      <c r="AH2" s="23"/>
      <c r="AI2" s="23"/>
      <c r="AJ2" s="23"/>
      <c r="AK2" s="23"/>
      <c r="AM2" s="23"/>
      <c r="AN2" s="23"/>
      <c r="AO2" s="23"/>
      <c r="AP2" s="23"/>
      <c r="AQ2" s="23"/>
      <c r="AR2" s="23"/>
      <c r="AS2" s="23"/>
      <c r="AT2" s="24"/>
      <c r="AU2" s="24"/>
      <c r="AV2" s="24"/>
      <c r="AW2" s="23"/>
      <c r="AX2" s="25"/>
      <c r="BA2" s="187" t="s">
        <v>1</v>
      </c>
      <c r="BB2" s="187" t="s">
        <v>2</v>
      </c>
      <c r="BC2" s="187" t="s">
        <v>3</v>
      </c>
      <c r="BD2" s="23"/>
      <c r="BE2" s="23"/>
      <c r="BF2" s="26"/>
      <c r="BH2" s="173">
        <v>44816</v>
      </c>
      <c r="BI2" s="26"/>
      <c r="BJ2" s="26"/>
      <c r="BK2" s="26"/>
      <c r="BL2" s="23"/>
      <c r="BM2" s="23"/>
      <c r="BN2" s="23"/>
      <c r="BO2" s="21"/>
      <c r="BQ2" s="223" t="s">
        <v>4</v>
      </c>
      <c r="BR2" s="223"/>
      <c r="BS2" s="223"/>
      <c r="BT2" s="223"/>
      <c r="BU2" s="223"/>
    </row>
    <row r="3" spans="1:84" ht="21" customHeight="1">
      <c r="B3" s="216" t="s">
        <v>5</v>
      </c>
      <c r="C3" s="216"/>
      <c r="D3" s="216"/>
      <c r="E3" s="219" t="s">
        <v>249</v>
      </c>
      <c r="F3" s="218"/>
      <c r="G3" s="21"/>
      <c r="H3" s="21"/>
      <c r="I3" s="21"/>
      <c r="J3" s="21"/>
      <c r="K3" s="22"/>
      <c r="L3" s="22"/>
      <c r="M3" s="23"/>
      <c r="N3" s="23"/>
      <c r="O3" s="24"/>
      <c r="P3" s="24"/>
      <c r="Q3" s="24"/>
      <c r="R3" s="24"/>
      <c r="S3" s="23"/>
      <c r="T3" s="27"/>
      <c r="U3" s="28"/>
      <c r="V3" s="28"/>
      <c r="W3" s="24"/>
      <c r="X3" s="24"/>
      <c r="Y3" s="24"/>
      <c r="Z3" s="24"/>
      <c r="AA3" s="24"/>
      <c r="AB3" s="243" t="s">
        <v>6</v>
      </c>
      <c r="AC3" s="244"/>
      <c r="AD3" s="188">
        <v>100</v>
      </c>
      <c r="AE3" s="188">
        <v>150</v>
      </c>
      <c r="AF3" s="189">
        <f>IF(AE3="",AD3,(AD3+AE3)/2)</f>
        <v>125</v>
      </c>
      <c r="AG3" s="26"/>
      <c r="AH3" s="26"/>
      <c r="AI3" s="28"/>
      <c r="AJ3" s="28"/>
      <c r="AK3" s="28"/>
      <c r="AL3" s="28"/>
      <c r="AM3" s="28"/>
      <c r="AN3" s="28"/>
      <c r="AO3" s="28"/>
      <c r="AP3" s="28"/>
      <c r="AQ3" s="28"/>
      <c r="AR3" s="28"/>
      <c r="AS3" s="28"/>
      <c r="AT3" s="24"/>
      <c r="AU3" s="24"/>
      <c r="AV3" s="24"/>
      <c r="AW3" s="23"/>
      <c r="AX3" s="25"/>
      <c r="AY3" s="248" t="s">
        <v>7</v>
      </c>
      <c r="AZ3" s="249"/>
      <c r="BA3" s="188">
        <v>10</v>
      </c>
      <c r="BB3" s="188">
        <v>15</v>
      </c>
      <c r="BC3" s="189">
        <f>IF(BB3="",BA3,(BA3+BB3)/2)</f>
        <v>12.5</v>
      </c>
      <c r="BD3" s="26"/>
      <c r="BE3" s="26"/>
      <c r="BF3" s="26"/>
      <c r="BG3" s="26"/>
      <c r="BH3" s="26"/>
      <c r="BI3" s="26"/>
      <c r="BJ3" s="26"/>
      <c r="BK3" s="26"/>
      <c r="BL3" s="28"/>
      <c r="BM3" s="28"/>
      <c r="BN3" s="28"/>
      <c r="BO3" s="21"/>
      <c r="BQ3" s="190" t="s">
        <v>8</v>
      </c>
      <c r="BR3" s="190" t="s">
        <v>9</v>
      </c>
      <c r="BS3" s="190" t="s">
        <v>10</v>
      </c>
      <c r="BT3" s="190" t="s">
        <v>11</v>
      </c>
      <c r="BU3" s="190" t="s">
        <v>12</v>
      </c>
    </row>
    <row r="4" spans="1:84" ht="19.5">
      <c r="B4" s="94"/>
      <c r="C4" s="94"/>
      <c r="D4" s="94"/>
      <c r="E4" s="94"/>
      <c r="F4" s="94"/>
      <c r="G4" s="21"/>
      <c r="H4" s="21"/>
      <c r="I4" s="21"/>
      <c r="J4" s="21"/>
      <c r="K4" s="22"/>
      <c r="L4" s="22"/>
      <c r="M4" s="23"/>
      <c r="N4" s="23"/>
      <c r="O4" s="24"/>
      <c r="P4" s="24"/>
      <c r="Q4" s="24"/>
      <c r="R4" s="24"/>
      <c r="S4" s="23"/>
      <c r="T4" s="27"/>
      <c r="U4" s="28"/>
      <c r="V4" s="28"/>
      <c r="W4" s="24"/>
      <c r="X4" s="24"/>
      <c r="Y4" s="24"/>
      <c r="Z4" s="24"/>
      <c r="AA4" s="24"/>
      <c r="AB4" s="24"/>
      <c r="AC4" s="24"/>
      <c r="AD4" s="24"/>
      <c r="AE4" s="24"/>
      <c r="AF4" s="26"/>
      <c r="AG4" s="26"/>
      <c r="AH4" s="26"/>
      <c r="AI4" s="28"/>
      <c r="AJ4" s="28"/>
      <c r="AK4" s="28"/>
      <c r="AL4" s="24"/>
      <c r="AM4" s="28"/>
      <c r="AN4" s="28"/>
      <c r="AO4" s="28"/>
      <c r="AP4" s="28"/>
      <c r="AQ4" s="28"/>
      <c r="AR4" s="28"/>
      <c r="AS4" s="28"/>
      <c r="AT4" s="24"/>
      <c r="AU4" s="24"/>
      <c r="AV4" s="24"/>
      <c r="AW4" s="23"/>
      <c r="AX4" s="25"/>
      <c r="AY4" s="25"/>
      <c r="AZ4" s="25"/>
      <c r="BA4" s="25"/>
      <c r="BB4" s="25"/>
      <c r="BC4" s="21"/>
      <c r="BD4" s="26"/>
      <c r="BE4" s="26"/>
      <c r="BF4" s="26"/>
      <c r="BG4" s="25"/>
      <c r="BH4" s="26"/>
      <c r="BI4" s="26"/>
      <c r="BJ4" s="26"/>
      <c r="BK4" s="26"/>
      <c r="BL4" s="28"/>
      <c r="BM4" s="28"/>
      <c r="BN4" s="28"/>
      <c r="BO4" s="21"/>
      <c r="BQ4" s="191">
        <v>0.6</v>
      </c>
      <c r="BR4" s="191">
        <v>0.2</v>
      </c>
      <c r="BS4" s="191">
        <v>0.1</v>
      </c>
      <c r="BT4" s="191">
        <v>0.1</v>
      </c>
      <c r="BU4" s="192">
        <f>SUM(BQ4:BT4)</f>
        <v>1</v>
      </c>
    </row>
    <row r="5" spans="1:84" ht="18" customHeight="1">
      <c r="A5" s="74"/>
      <c r="B5" s="21"/>
      <c r="C5" s="21"/>
      <c r="D5" s="21"/>
      <c r="E5" s="24" t="s">
        <v>13</v>
      </c>
      <c r="F5" s="21"/>
      <c r="G5" s="21"/>
      <c r="H5" s="21"/>
      <c r="I5" s="21"/>
      <c r="J5" s="21"/>
      <c r="K5" s="22"/>
      <c r="L5" s="24" t="s">
        <v>13</v>
      </c>
      <c r="M5" s="21" t="s">
        <v>14</v>
      </c>
      <c r="N5" s="24" t="s">
        <v>13</v>
      </c>
      <c r="O5" s="21"/>
      <c r="P5" s="21"/>
      <c r="Q5" s="24" t="s">
        <v>13</v>
      </c>
      <c r="R5" s="24" t="s">
        <v>13</v>
      </c>
      <c r="S5" s="21"/>
      <c r="T5" s="21" t="s">
        <v>14</v>
      </c>
      <c r="U5" s="24" t="s">
        <v>13</v>
      </c>
      <c r="V5" s="21" t="s">
        <v>14</v>
      </c>
      <c r="W5" s="21" t="s">
        <v>14</v>
      </c>
      <c r="X5" s="178" t="s">
        <v>15</v>
      </c>
      <c r="Y5" s="178" t="s">
        <v>15</v>
      </c>
      <c r="Z5" s="24" t="s">
        <v>13</v>
      </c>
      <c r="AA5" s="24" t="s">
        <v>13</v>
      </c>
      <c r="AB5" s="178" t="s">
        <v>15</v>
      </c>
      <c r="AC5" s="24" t="s">
        <v>13</v>
      </c>
      <c r="AD5" s="26"/>
      <c r="AE5" s="26"/>
      <c r="AF5" s="24" t="s">
        <v>13</v>
      </c>
      <c r="AG5" s="24" t="s">
        <v>13</v>
      </c>
      <c r="AH5" s="26"/>
      <c r="AI5" s="24" t="s">
        <v>13</v>
      </c>
      <c r="AJ5" s="27" t="s">
        <v>16</v>
      </c>
      <c r="AK5" s="27" t="s">
        <v>16</v>
      </c>
      <c r="AL5" s="27" t="s">
        <v>16</v>
      </c>
      <c r="AM5" s="27" t="s">
        <v>16</v>
      </c>
      <c r="AN5" s="27" t="s">
        <v>16</v>
      </c>
      <c r="AO5" s="27" t="s">
        <v>16</v>
      </c>
      <c r="AP5" s="27" t="s">
        <v>16</v>
      </c>
      <c r="AQ5" s="28"/>
      <c r="AR5" s="21" t="s">
        <v>14</v>
      </c>
      <c r="AS5" s="21" t="s">
        <v>14</v>
      </c>
      <c r="AT5" s="21" t="s">
        <v>14</v>
      </c>
      <c r="AU5" s="178" t="s">
        <v>15</v>
      </c>
      <c r="AV5" s="178" t="s">
        <v>15</v>
      </c>
      <c r="AW5" s="24" t="s">
        <v>13</v>
      </c>
      <c r="AX5" s="24" t="s">
        <v>13</v>
      </c>
      <c r="AY5" s="178" t="s">
        <v>15</v>
      </c>
      <c r="AZ5" s="24" t="s">
        <v>13</v>
      </c>
      <c r="BA5" s="21"/>
      <c r="BB5" s="26"/>
      <c r="BC5" s="24" t="s">
        <v>13</v>
      </c>
      <c r="BD5" s="24" t="s">
        <v>13</v>
      </c>
      <c r="BE5" s="26"/>
      <c r="BF5" s="24" t="s">
        <v>13</v>
      </c>
      <c r="BG5" s="27" t="s">
        <v>16</v>
      </c>
      <c r="BH5" s="27" t="s">
        <v>16</v>
      </c>
      <c r="BI5" s="27" t="s">
        <v>16</v>
      </c>
      <c r="BJ5" s="27" t="s">
        <v>16</v>
      </c>
      <c r="BK5" s="27" t="s">
        <v>16</v>
      </c>
      <c r="BL5" s="28"/>
      <c r="BM5" s="21" t="s">
        <v>14</v>
      </c>
      <c r="BN5" s="21" t="s">
        <v>14</v>
      </c>
      <c r="BO5" s="21" t="s">
        <v>14</v>
      </c>
      <c r="CA5" s="24" t="s">
        <v>13</v>
      </c>
      <c r="CB5" s="24" t="s">
        <v>13</v>
      </c>
      <c r="CC5" s="24" t="s">
        <v>13</v>
      </c>
      <c r="CD5" s="24" t="s">
        <v>13</v>
      </c>
    </row>
    <row r="6" spans="1:84" ht="22.15" customHeight="1">
      <c r="B6" s="220" t="s">
        <v>17</v>
      </c>
      <c r="C6" s="221"/>
      <c r="D6" s="222"/>
      <c r="E6" s="193" t="s">
        <v>18</v>
      </c>
      <c r="F6" s="21"/>
      <c r="G6" s="21"/>
      <c r="H6" s="21"/>
      <c r="I6" s="21"/>
      <c r="J6" s="21"/>
      <c r="K6" s="22"/>
      <c r="L6" s="22"/>
      <c r="M6" s="23"/>
      <c r="N6" s="23"/>
      <c r="O6" s="212" t="s">
        <v>19</v>
      </c>
      <c r="P6" s="245"/>
      <c r="Q6" s="245"/>
      <c r="R6" s="245"/>
      <c r="S6" s="245"/>
      <c r="T6" s="245"/>
      <c r="U6" s="245"/>
      <c r="V6" s="245"/>
      <c r="W6" s="213"/>
      <c r="X6" s="209" t="s">
        <v>20</v>
      </c>
      <c r="Y6" s="210"/>
      <c r="Z6" s="210"/>
      <c r="AA6" s="210"/>
      <c r="AB6" s="210"/>
      <c r="AC6" s="210"/>
      <c r="AD6" s="210"/>
      <c r="AE6" s="210"/>
      <c r="AF6" s="210"/>
      <c r="AG6" s="210"/>
      <c r="AH6" s="210"/>
      <c r="AI6" s="210"/>
      <c r="AJ6" s="210"/>
      <c r="AK6" s="210"/>
      <c r="AL6" s="210"/>
      <c r="AM6" s="210"/>
      <c r="AN6" s="210"/>
      <c r="AO6" s="210"/>
      <c r="AP6" s="210"/>
      <c r="AQ6" s="210"/>
      <c r="AR6" s="210"/>
      <c r="AS6" s="210"/>
      <c r="AT6" s="211"/>
      <c r="AU6" s="232" t="s">
        <v>21</v>
      </c>
      <c r="AV6" s="233"/>
      <c r="AW6" s="233"/>
      <c r="AX6" s="233"/>
      <c r="AY6" s="233"/>
      <c r="AZ6" s="233"/>
      <c r="BA6" s="233"/>
      <c r="BB6" s="233"/>
      <c r="BC6" s="233"/>
      <c r="BD6" s="233"/>
      <c r="BE6" s="233"/>
      <c r="BF6" s="233"/>
      <c r="BG6" s="233"/>
      <c r="BH6" s="233"/>
      <c r="BI6" s="233"/>
      <c r="BJ6" s="233"/>
      <c r="BK6" s="233"/>
      <c r="BL6" s="233"/>
      <c r="BM6" s="233"/>
      <c r="BN6" s="233"/>
      <c r="BO6" s="234"/>
    </row>
    <row r="7" spans="1:84" s="21" customFormat="1" ht="14.25" customHeight="1">
      <c r="A7" s="87"/>
      <c r="B7" s="203" t="s">
        <v>22</v>
      </c>
      <c r="C7" s="203" t="s">
        <v>23</v>
      </c>
      <c r="D7" s="203" t="s">
        <v>24</v>
      </c>
      <c r="E7" s="203" t="s">
        <v>25</v>
      </c>
      <c r="F7" s="203" t="s">
        <v>26</v>
      </c>
      <c r="G7" s="203" t="s">
        <v>27</v>
      </c>
      <c r="H7" s="203" t="s">
        <v>28</v>
      </c>
      <c r="I7" s="203" t="s">
        <v>29</v>
      </c>
      <c r="J7" s="203" t="s">
        <v>30</v>
      </c>
      <c r="K7" s="214" t="s">
        <v>31</v>
      </c>
      <c r="L7" s="214" t="s">
        <v>32</v>
      </c>
      <c r="M7" s="203" t="s">
        <v>33</v>
      </c>
      <c r="N7" s="203" t="s">
        <v>95</v>
      </c>
      <c r="O7" s="212" t="s">
        <v>34</v>
      </c>
      <c r="P7" s="213"/>
      <c r="Q7" s="239" t="s">
        <v>35</v>
      </c>
      <c r="R7" s="240"/>
      <c r="S7" s="241" t="s">
        <v>36</v>
      </c>
      <c r="T7" s="246" t="s">
        <v>37</v>
      </c>
      <c r="U7" s="241" t="s">
        <v>38</v>
      </c>
      <c r="V7" s="235" t="s">
        <v>39</v>
      </c>
      <c r="W7" s="235" t="s">
        <v>40</v>
      </c>
      <c r="X7" s="224" t="s">
        <v>34</v>
      </c>
      <c r="Y7" s="225"/>
      <c r="Z7" s="224" t="s">
        <v>35</v>
      </c>
      <c r="AA7" s="225"/>
      <c r="AB7" s="226" t="s">
        <v>36</v>
      </c>
      <c r="AC7" s="207" t="s">
        <v>37</v>
      </c>
      <c r="AD7" s="209" t="s">
        <v>41</v>
      </c>
      <c r="AE7" s="210"/>
      <c r="AF7" s="211"/>
      <c r="AG7" s="255" t="s">
        <v>42</v>
      </c>
      <c r="AH7" s="255"/>
      <c r="AI7" s="255"/>
      <c r="AJ7" s="175" t="s">
        <v>43</v>
      </c>
      <c r="AK7" s="175" t="s">
        <v>44</v>
      </c>
      <c r="AL7" s="200" t="s">
        <v>45</v>
      </c>
      <c r="AM7" s="175" t="s">
        <v>43</v>
      </c>
      <c r="AN7" s="175" t="s">
        <v>44</v>
      </c>
      <c r="AO7" s="175" t="s">
        <v>43</v>
      </c>
      <c r="AP7" s="175" t="s">
        <v>44</v>
      </c>
      <c r="AQ7" s="209" t="s">
        <v>46</v>
      </c>
      <c r="AR7" s="210"/>
      <c r="AS7" s="210"/>
      <c r="AT7" s="211"/>
      <c r="AU7" s="228" t="s">
        <v>34</v>
      </c>
      <c r="AV7" s="229"/>
      <c r="AW7" s="228" t="s">
        <v>35</v>
      </c>
      <c r="AX7" s="229"/>
      <c r="AY7" s="205" t="s">
        <v>36</v>
      </c>
      <c r="AZ7" s="230" t="s">
        <v>37</v>
      </c>
      <c r="BA7" s="232" t="s">
        <v>47</v>
      </c>
      <c r="BB7" s="233"/>
      <c r="BC7" s="234"/>
      <c r="BD7" s="254" t="s">
        <v>42</v>
      </c>
      <c r="BE7" s="254"/>
      <c r="BF7" s="254"/>
      <c r="BG7" s="250" t="s">
        <v>45</v>
      </c>
      <c r="BH7" s="174" t="s">
        <v>48</v>
      </c>
      <c r="BI7" s="174" t="s">
        <v>49</v>
      </c>
      <c r="BJ7" s="174" t="s">
        <v>48</v>
      </c>
      <c r="BK7" s="174" t="s">
        <v>49</v>
      </c>
      <c r="BL7" s="232" t="s">
        <v>50</v>
      </c>
      <c r="BM7" s="233"/>
      <c r="BN7" s="233"/>
      <c r="BO7" s="234"/>
      <c r="BQ7" s="223" t="s">
        <v>51</v>
      </c>
      <c r="BR7" s="223"/>
      <c r="BS7" s="223"/>
      <c r="BT7" s="223"/>
      <c r="BU7" s="223"/>
      <c r="BV7" s="223" t="s">
        <v>52</v>
      </c>
      <c r="BW7" s="223"/>
      <c r="BX7" s="223"/>
      <c r="BY7" s="223"/>
      <c r="BZ7" s="223"/>
      <c r="CA7" s="223" t="s">
        <v>53</v>
      </c>
      <c r="CB7" s="223"/>
      <c r="CC7" s="223"/>
      <c r="CD7" s="223"/>
      <c r="CE7" s="223"/>
    </row>
    <row r="8" spans="1:84" s="21" customFormat="1" ht="57.75" thickBot="1">
      <c r="A8" s="87">
        <f>ROW()</f>
        <v>8</v>
      </c>
      <c r="B8" s="204"/>
      <c r="C8" s="204"/>
      <c r="D8" s="204"/>
      <c r="E8" s="204"/>
      <c r="F8" s="204"/>
      <c r="G8" s="204"/>
      <c r="H8" s="204"/>
      <c r="I8" s="204"/>
      <c r="J8" s="204"/>
      <c r="K8" s="215"/>
      <c r="L8" s="215"/>
      <c r="M8" s="204"/>
      <c r="N8" s="204"/>
      <c r="O8" s="14" t="s">
        <v>54</v>
      </c>
      <c r="P8" s="15" t="s">
        <v>55</v>
      </c>
      <c r="Q8" s="176" t="s">
        <v>54</v>
      </c>
      <c r="R8" s="177" t="s">
        <v>55</v>
      </c>
      <c r="S8" s="242"/>
      <c r="T8" s="247"/>
      <c r="U8" s="242"/>
      <c r="V8" s="236"/>
      <c r="W8" s="236"/>
      <c r="X8" s="16" t="s">
        <v>54</v>
      </c>
      <c r="Y8" s="17" t="s">
        <v>55</v>
      </c>
      <c r="Z8" s="16" t="s">
        <v>54</v>
      </c>
      <c r="AA8" s="17" t="s">
        <v>55</v>
      </c>
      <c r="AB8" s="227"/>
      <c r="AC8" s="208"/>
      <c r="AD8" s="18" t="s">
        <v>56</v>
      </c>
      <c r="AE8" s="18" t="s">
        <v>57</v>
      </c>
      <c r="AF8" s="18" t="s">
        <v>58</v>
      </c>
      <c r="AG8" s="237" t="s">
        <v>59</v>
      </c>
      <c r="AH8" s="238"/>
      <c r="AI8" s="114" t="s">
        <v>60</v>
      </c>
      <c r="AJ8" s="167" t="s">
        <v>61</v>
      </c>
      <c r="AK8" s="167" t="s">
        <v>61</v>
      </c>
      <c r="AL8" s="201"/>
      <c r="AM8" s="167" t="s">
        <v>62</v>
      </c>
      <c r="AN8" s="167" t="s">
        <v>63</v>
      </c>
      <c r="AO8" s="167" t="s">
        <v>64</v>
      </c>
      <c r="AP8" s="167" t="s">
        <v>65</v>
      </c>
      <c r="AQ8" s="114" t="s">
        <v>66</v>
      </c>
      <c r="AR8" s="114" t="s">
        <v>67</v>
      </c>
      <c r="AS8" s="114" t="s">
        <v>68</v>
      </c>
      <c r="AT8" s="114" t="s">
        <v>40</v>
      </c>
      <c r="AU8" s="19" t="s">
        <v>54</v>
      </c>
      <c r="AV8" s="20" t="s">
        <v>55</v>
      </c>
      <c r="AW8" s="19" t="s">
        <v>54</v>
      </c>
      <c r="AX8" s="20" t="s">
        <v>55</v>
      </c>
      <c r="AY8" s="206"/>
      <c r="AZ8" s="231"/>
      <c r="BA8" s="115" t="s">
        <v>69</v>
      </c>
      <c r="BB8" s="115" t="s">
        <v>70</v>
      </c>
      <c r="BC8" s="115" t="s">
        <v>71</v>
      </c>
      <c r="BD8" s="252" t="s">
        <v>59</v>
      </c>
      <c r="BE8" s="253"/>
      <c r="BF8" s="115" t="s">
        <v>60</v>
      </c>
      <c r="BG8" s="251"/>
      <c r="BH8" s="169" t="s">
        <v>62</v>
      </c>
      <c r="BI8" s="169" t="s">
        <v>63</v>
      </c>
      <c r="BJ8" s="169" t="s">
        <v>64</v>
      </c>
      <c r="BK8" s="169" t="s">
        <v>65</v>
      </c>
      <c r="BL8" s="115" t="s">
        <v>66</v>
      </c>
      <c r="BM8" s="115" t="s">
        <v>67</v>
      </c>
      <c r="BN8" s="115" t="s">
        <v>68</v>
      </c>
      <c r="BO8" s="115" t="s">
        <v>40</v>
      </c>
      <c r="BQ8" s="100" t="s">
        <v>8</v>
      </c>
      <c r="BR8" s="100" t="s">
        <v>9</v>
      </c>
      <c r="BS8" s="100" t="s">
        <v>10</v>
      </c>
      <c r="BT8" s="100" t="s">
        <v>11</v>
      </c>
      <c r="BU8" s="100" t="s">
        <v>12</v>
      </c>
      <c r="BV8" s="100" t="s">
        <v>8</v>
      </c>
      <c r="BW8" s="100" t="s">
        <v>9</v>
      </c>
      <c r="BX8" s="100" t="s">
        <v>10</v>
      </c>
      <c r="BY8" s="100" t="s">
        <v>11</v>
      </c>
      <c r="BZ8" s="100" t="s">
        <v>12</v>
      </c>
      <c r="CA8" s="100" t="s">
        <v>8</v>
      </c>
      <c r="CB8" s="100" t="s">
        <v>9</v>
      </c>
      <c r="CC8" s="100" t="s">
        <v>10</v>
      </c>
      <c r="CD8" s="100" t="s">
        <v>11</v>
      </c>
      <c r="CE8" s="100" t="s">
        <v>12</v>
      </c>
      <c r="CF8" s="23"/>
    </row>
    <row r="9" spans="1:84" s="84" customFormat="1" ht="17.25" thickTop="1">
      <c r="A9" s="82"/>
      <c r="B9" s="171">
        <f t="shared" ref="B9:B10" si="0">ROW()-開始位置</f>
        <v>1</v>
      </c>
      <c r="C9" s="179"/>
      <c r="D9" s="183" t="s">
        <v>72</v>
      </c>
      <c r="E9" s="183" t="s">
        <v>265</v>
      </c>
      <c r="F9" s="37" t="s">
        <v>252</v>
      </c>
      <c r="G9" s="170" t="s">
        <v>73</v>
      </c>
      <c r="H9" s="33" t="s">
        <v>248</v>
      </c>
      <c r="I9" s="33" t="s">
        <v>277</v>
      </c>
      <c r="J9" s="40"/>
      <c r="K9" s="41"/>
      <c r="L9" s="96"/>
      <c r="M9" s="33"/>
      <c r="N9" s="185"/>
      <c r="O9" s="58"/>
      <c r="P9" s="59"/>
      <c r="Q9" s="59"/>
      <c r="R9" s="59"/>
      <c r="S9" s="60"/>
      <c r="T9" s="61"/>
      <c r="U9" s="62"/>
      <c r="V9" s="59"/>
      <c r="W9" s="63"/>
      <c r="X9" s="44"/>
      <c r="Y9" s="44"/>
      <c r="Z9" s="44"/>
      <c r="AA9" s="44"/>
      <c r="AB9" s="156"/>
      <c r="AC9" s="49"/>
      <c r="AD9" s="85"/>
      <c r="AE9" s="181"/>
      <c r="AF9" s="109"/>
      <c r="AG9" s="88"/>
      <c r="AH9" s="123"/>
      <c r="AI9" s="117"/>
      <c r="AJ9" s="106"/>
      <c r="AK9" s="106"/>
      <c r="AL9" s="156"/>
      <c r="AM9" s="106"/>
      <c r="AN9" s="106"/>
      <c r="AO9" s="182"/>
      <c r="AP9" s="106"/>
      <c r="AQ9" s="138"/>
      <c r="AR9" s="92"/>
      <c r="AS9" s="106"/>
      <c r="AT9" s="111"/>
      <c r="AU9" s="77">
        <v>45462</v>
      </c>
      <c r="AV9" s="45">
        <v>45468</v>
      </c>
      <c r="AW9" s="106"/>
      <c r="AX9" s="106"/>
      <c r="AY9" s="156" t="s">
        <v>279</v>
      </c>
      <c r="AZ9" s="41"/>
      <c r="BA9" s="164" t="str">
        <f t="shared" ref="BA9:BB19" si="1">IF($F9="","",IF($J9="取消","",IF($K9="","",ROUNDUP($K9*BA$3,0))))</f>
        <v/>
      </c>
      <c r="BB9" s="164" t="str">
        <f t="shared" si="1"/>
        <v/>
      </c>
      <c r="BC9" s="109"/>
      <c r="BD9" s="88" t="s">
        <v>88</v>
      </c>
      <c r="BE9" s="123">
        <f t="shared" ref="BE9:BE23" si="2">IF(BD9="","",VLOOKUP(BD9,$BD$26:$BF$35,3,FALSE))</f>
        <v>0</v>
      </c>
      <c r="BF9" s="117">
        <v>0</v>
      </c>
      <c r="BG9" s="156" t="s">
        <v>281</v>
      </c>
      <c r="BH9" s="106"/>
      <c r="BI9" s="106"/>
      <c r="BJ9" s="106"/>
      <c r="BK9" s="106"/>
      <c r="BL9" s="138" t="str">
        <f t="shared" ref="BL9:BL21" si="3">IF($BF9=1,IF($BC9&lt;$BA9,"過少",IF($BC9&gt;$BB9,"超過","良好")),"")</f>
        <v/>
      </c>
      <c r="BM9" s="92"/>
      <c r="BN9" s="106"/>
      <c r="BO9" s="119"/>
      <c r="BQ9" s="98" t="str">
        <f t="shared" ref="BQ9:BQ21" si="4">IF($BU9="","",$BU9*$BQ$4)</f>
        <v/>
      </c>
      <c r="BR9" s="145" t="str">
        <f t="shared" ref="BR9:BR21" si="5">IF($BU9="","",$BU9*$BR$4)</f>
        <v/>
      </c>
      <c r="BS9" s="145" t="str">
        <f t="shared" ref="BS9:BS21" si="6">IF($BU9="","",$BU9*$BS$4)</f>
        <v/>
      </c>
      <c r="BT9" s="145" t="str">
        <f t="shared" ref="BT9:BT21" si="7">IF($BU9="","",$BU9*$BT$4)</f>
        <v/>
      </c>
      <c r="BU9" s="146" t="str">
        <f t="shared" ref="BU9:BU23" si="8">IF($F9="","",IF($J9="取消","",IF($K9="","",ROUNDUP($K9*$AD$3,0))))</f>
        <v/>
      </c>
      <c r="BV9" s="147" t="str">
        <f t="shared" ref="BV9:BV21" si="9">IF($BZ9="","",$BZ9*$BQ$4)</f>
        <v/>
      </c>
      <c r="BW9" s="145" t="str">
        <f t="shared" ref="BW9:BW21" si="10">IF($BZ9="","",$BZ9*$BR$4)</f>
        <v/>
      </c>
      <c r="BX9" s="145" t="str">
        <f t="shared" ref="BX9:BX21" si="11">IF($BZ9="","",$BZ9*$BS$4)</f>
        <v/>
      </c>
      <c r="BY9" s="145" t="str">
        <f t="shared" ref="BY9:BY21" si="12">IF($BZ9="","",$BZ9*$BT$4)</f>
        <v/>
      </c>
      <c r="BZ9" s="146" t="str">
        <f t="shared" ref="BZ9:BZ23" si="13">IF($F9="","",IF($J9="取消","",IF($L9="","",ROUNDUP($L9*$AD$3,0))))</f>
        <v/>
      </c>
      <c r="CA9" s="148"/>
      <c r="CB9" s="149"/>
      <c r="CC9" s="149"/>
      <c r="CD9" s="149"/>
      <c r="CE9" s="146"/>
      <c r="CF9" s="180"/>
    </row>
    <row r="10" spans="1:84" s="84" customFormat="1" ht="16.5">
      <c r="A10" s="82"/>
      <c r="B10" s="171">
        <f t="shared" si="0"/>
        <v>2</v>
      </c>
      <c r="C10" s="184"/>
      <c r="D10" s="183" t="s">
        <v>72</v>
      </c>
      <c r="E10" s="183" t="s">
        <v>266</v>
      </c>
      <c r="F10" s="37" t="s">
        <v>253</v>
      </c>
      <c r="G10" s="170" t="s">
        <v>73</v>
      </c>
      <c r="H10" s="33" t="s">
        <v>248</v>
      </c>
      <c r="I10" s="33" t="s">
        <v>74</v>
      </c>
      <c r="J10" s="40"/>
      <c r="K10" s="41"/>
      <c r="L10" s="96"/>
      <c r="M10" s="33"/>
      <c r="N10" s="185"/>
      <c r="O10" s="58"/>
      <c r="P10" s="59"/>
      <c r="Q10" s="59"/>
      <c r="R10" s="59"/>
      <c r="S10" s="60"/>
      <c r="T10" s="61"/>
      <c r="U10" s="62"/>
      <c r="V10" s="59"/>
      <c r="W10" s="63"/>
      <c r="X10" s="44"/>
      <c r="Y10" s="44"/>
      <c r="Z10" s="44"/>
      <c r="AA10" s="44"/>
      <c r="AB10" s="156"/>
      <c r="AC10" s="49"/>
      <c r="AD10" s="85"/>
      <c r="AE10" s="181"/>
      <c r="AF10" s="109"/>
      <c r="AG10" s="88"/>
      <c r="AH10" s="123"/>
      <c r="AI10" s="117"/>
      <c r="AJ10" s="106"/>
      <c r="AK10" s="106"/>
      <c r="AL10" s="156"/>
      <c r="AM10" s="106"/>
      <c r="AN10" s="106"/>
      <c r="AO10" s="182"/>
      <c r="AP10" s="106"/>
      <c r="AQ10" s="138"/>
      <c r="AR10" s="92"/>
      <c r="AS10" s="106"/>
      <c r="AT10" s="111"/>
      <c r="AU10" s="77">
        <v>45463</v>
      </c>
      <c r="AV10" s="45">
        <v>45468</v>
      </c>
      <c r="AW10" s="106"/>
      <c r="AX10" s="106"/>
      <c r="AY10" s="156" t="s">
        <v>280</v>
      </c>
      <c r="AZ10" s="41"/>
      <c r="BA10" s="164" t="str">
        <f t="shared" si="1"/>
        <v/>
      </c>
      <c r="BB10" s="164" t="str">
        <f t="shared" si="1"/>
        <v/>
      </c>
      <c r="BC10" s="109"/>
      <c r="BD10" s="88" t="s">
        <v>88</v>
      </c>
      <c r="BE10" s="123">
        <f t="shared" si="2"/>
        <v>0</v>
      </c>
      <c r="BF10" s="117">
        <v>0</v>
      </c>
      <c r="BG10" s="156" t="s">
        <v>281</v>
      </c>
      <c r="BH10" s="106"/>
      <c r="BI10" s="106"/>
      <c r="BJ10" s="106"/>
      <c r="BK10" s="182"/>
      <c r="BL10" s="138" t="str">
        <f t="shared" si="3"/>
        <v/>
      </c>
      <c r="BM10" s="92"/>
      <c r="BN10" s="106"/>
      <c r="BO10" s="119"/>
      <c r="BQ10" s="98" t="str">
        <f t="shared" si="4"/>
        <v/>
      </c>
      <c r="BR10" s="145" t="str">
        <f t="shared" si="5"/>
        <v/>
      </c>
      <c r="BS10" s="145" t="str">
        <f t="shared" si="6"/>
        <v/>
      </c>
      <c r="BT10" s="145" t="str">
        <f t="shared" si="7"/>
        <v/>
      </c>
      <c r="BU10" s="146" t="str">
        <f t="shared" si="8"/>
        <v/>
      </c>
      <c r="BV10" s="147" t="str">
        <f t="shared" si="9"/>
        <v/>
      </c>
      <c r="BW10" s="145" t="str">
        <f t="shared" si="10"/>
        <v/>
      </c>
      <c r="BX10" s="145" t="str">
        <f t="shared" si="11"/>
        <v/>
      </c>
      <c r="BY10" s="145" t="str">
        <f t="shared" si="12"/>
        <v/>
      </c>
      <c r="BZ10" s="146" t="str">
        <f t="shared" si="13"/>
        <v/>
      </c>
      <c r="CA10" s="148"/>
      <c r="CB10" s="149"/>
      <c r="CC10" s="149"/>
      <c r="CD10" s="149"/>
      <c r="CE10" s="146"/>
      <c r="CF10" s="180"/>
    </row>
    <row r="11" spans="1:84" s="84" customFormat="1" ht="16.5">
      <c r="A11" s="82"/>
      <c r="B11" s="171">
        <f t="shared" ref="B11:B13" si="14">ROW()-開始位置</f>
        <v>3</v>
      </c>
      <c r="C11" s="184"/>
      <c r="D11" s="183" t="s">
        <v>76</v>
      </c>
      <c r="E11" s="183" t="s">
        <v>267</v>
      </c>
      <c r="F11" s="37" t="s">
        <v>254</v>
      </c>
      <c r="G11" s="170" t="s">
        <v>73</v>
      </c>
      <c r="H11" s="33" t="s">
        <v>248</v>
      </c>
      <c r="I11" s="33" t="s">
        <v>74</v>
      </c>
      <c r="J11" s="40"/>
      <c r="K11" s="41"/>
      <c r="L11" s="96"/>
      <c r="M11" s="33"/>
      <c r="N11" s="185"/>
      <c r="O11" s="58"/>
      <c r="P11" s="59"/>
      <c r="Q11" s="59"/>
      <c r="R11" s="59"/>
      <c r="S11" s="60"/>
      <c r="T11" s="61"/>
      <c r="U11" s="62"/>
      <c r="V11" s="59"/>
      <c r="W11" s="63"/>
      <c r="X11" s="44"/>
      <c r="Y11" s="45"/>
      <c r="Z11" s="44"/>
      <c r="AA11" s="45"/>
      <c r="AB11" s="156"/>
      <c r="AC11" s="49"/>
      <c r="AD11" s="85"/>
      <c r="AE11" s="181"/>
      <c r="AF11" s="109"/>
      <c r="AG11" s="88"/>
      <c r="AH11" s="123"/>
      <c r="AI11" s="117"/>
      <c r="AJ11" s="106"/>
      <c r="AK11" s="106"/>
      <c r="AL11" s="156"/>
      <c r="AM11" s="106"/>
      <c r="AN11" s="182"/>
      <c r="AO11" s="182"/>
      <c r="AP11" s="182"/>
      <c r="AQ11" s="138"/>
      <c r="AR11" s="92"/>
      <c r="AS11" s="106"/>
      <c r="AT11" s="111"/>
      <c r="AU11" s="77">
        <v>45482</v>
      </c>
      <c r="AV11" s="45">
        <v>45485</v>
      </c>
      <c r="AW11" s="106"/>
      <c r="AX11" s="106"/>
      <c r="AY11" s="156" t="s">
        <v>280</v>
      </c>
      <c r="AZ11" s="41"/>
      <c r="BA11" s="164" t="str">
        <f t="shared" si="1"/>
        <v/>
      </c>
      <c r="BB11" s="164" t="str">
        <f t="shared" si="1"/>
        <v/>
      </c>
      <c r="BC11" s="109"/>
      <c r="BD11" s="88" t="s">
        <v>88</v>
      </c>
      <c r="BE11" s="123">
        <f t="shared" si="2"/>
        <v>0</v>
      </c>
      <c r="BF11" s="117">
        <v>0</v>
      </c>
      <c r="BG11" s="156" t="s">
        <v>281</v>
      </c>
      <c r="BH11" s="106"/>
      <c r="BI11" s="106"/>
      <c r="BJ11" s="106"/>
      <c r="BK11" s="182"/>
      <c r="BL11" s="138" t="str">
        <f t="shared" si="3"/>
        <v/>
      </c>
      <c r="BM11" s="92"/>
      <c r="BN11" s="106"/>
      <c r="BO11" s="119"/>
      <c r="BQ11" s="98" t="str">
        <f t="shared" si="4"/>
        <v/>
      </c>
      <c r="BR11" s="145" t="str">
        <f t="shared" si="5"/>
        <v/>
      </c>
      <c r="BS11" s="145" t="str">
        <f t="shared" si="6"/>
        <v/>
      </c>
      <c r="BT11" s="145" t="str">
        <f t="shared" si="7"/>
        <v/>
      </c>
      <c r="BU11" s="146" t="str">
        <f t="shared" si="8"/>
        <v/>
      </c>
      <c r="BV11" s="147" t="str">
        <f t="shared" si="9"/>
        <v/>
      </c>
      <c r="BW11" s="145" t="str">
        <f t="shared" si="10"/>
        <v/>
      </c>
      <c r="BX11" s="145" t="str">
        <f t="shared" si="11"/>
        <v/>
      </c>
      <c r="BY11" s="145" t="str">
        <f t="shared" si="12"/>
        <v/>
      </c>
      <c r="BZ11" s="146" t="str">
        <f t="shared" si="13"/>
        <v/>
      </c>
      <c r="CA11" s="148"/>
      <c r="CB11" s="149"/>
      <c r="CC11" s="149"/>
      <c r="CD11" s="149"/>
      <c r="CE11" s="146"/>
      <c r="CF11" s="180"/>
    </row>
    <row r="12" spans="1:84" s="84" customFormat="1" ht="16.5">
      <c r="A12" s="82"/>
      <c r="B12" s="171">
        <f t="shared" si="14"/>
        <v>4</v>
      </c>
      <c r="C12" s="184"/>
      <c r="D12" s="183" t="s">
        <v>76</v>
      </c>
      <c r="E12" s="183" t="s">
        <v>268</v>
      </c>
      <c r="F12" s="37" t="s">
        <v>77</v>
      </c>
      <c r="G12" s="170" t="s">
        <v>73</v>
      </c>
      <c r="H12" s="33" t="s">
        <v>248</v>
      </c>
      <c r="I12" s="33" t="s">
        <v>277</v>
      </c>
      <c r="J12" s="40"/>
      <c r="K12" s="41"/>
      <c r="L12" s="96"/>
      <c r="M12" s="33"/>
      <c r="N12" s="185"/>
      <c r="O12" s="58"/>
      <c r="P12" s="59"/>
      <c r="Q12" s="59"/>
      <c r="R12" s="59"/>
      <c r="S12" s="60"/>
      <c r="T12" s="61"/>
      <c r="U12" s="62"/>
      <c r="V12" s="59"/>
      <c r="W12" s="63"/>
      <c r="X12" s="44"/>
      <c r="Y12" s="45"/>
      <c r="Z12" s="44"/>
      <c r="AA12" s="45"/>
      <c r="AB12" s="156"/>
      <c r="AC12" s="49"/>
      <c r="AD12" s="85"/>
      <c r="AE12" s="181"/>
      <c r="AF12" s="109"/>
      <c r="AG12" s="88"/>
      <c r="AH12" s="123"/>
      <c r="AI12" s="117"/>
      <c r="AJ12" s="106"/>
      <c r="AK12" s="106"/>
      <c r="AL12" s="156"/>
      <c r="AM12" s="106"/>
      <c r="AN12" s="182"/>
      <c r="AO12" s="182"/>
      <c r="AP12" s="182"/>
      <c r="AQ12" s="138"/>
      <c r="AR12" s="92"/>
      <c r="AS12" s="106"/>
      <c r="AT12" s="111"/>
      <c r="AU12" s="77">
        <v>45488</v>
      </c>
      <c r="AV12" s="45">
        <v>45490</v>
      </c>
      <c r="AW12" s="106"/>
      <c r="AX12" s="106"/>
      <c r="AY12" s="156" t="s">
        <v>280</v>
      </c>
      <c r="AZ12" s="41"/>
      <c r="BA12" s="164" t="str">
        <f t="shared" si="1"/>
        <v/>
      </c>
      <c r="BB12" s="164" t="str">
        <f t="shared" si="1"/>
        <v/>
      </c>
      <c r="BC12" s="109"/>
      <c r="BD12" s="88" t="s">
        <v>88</v>
      </c>
      <c r="BE12" s="123">
        <f t="shared" si="2"/>
        <v>0</v>
      </c>
      <c r="BF12" s="117">
        <v>0</v>
      </c>
      <c r="BG12" s="156" t="s">
        <v>282</v>
      </c>
      <c r="BH12" s="198"/>
      <c r="BI12" s="198"/>
      <c r="BJ12" s="198"/>
      <c r="BK12" s="198"/>
      <c r="BL12" s="138" t="str">
        <f t="shared" si="3"/>
        <v/>
      </c>
      <c r="BM12" s="92"/>
      <c r="BN12" s="106"/>
      <c r="BO12" s="119"/>
      <c r="BQ12" s="98" t="str">
        <f t="shared" si="4"/>
        <v/>
      </c>
      <c r="BR12" s="145" t="str">
        <f t="shared" si="5"/>
        <v/>
      </c>
      <c r="BS12" s="145" t="str">
        <f t="shared" si="6"/>
        <v/>
      </c>
      <c r="BT12" s="145" t="str">
        <f t="shared" si="7"/>
        <v/>
      </c>
      <c r="BU12" s="146" t="str">
        <f t="shared" si="8"/>
        <v/>
      </c>
      <c r="BV12" s="147" t="str">
        <f t="shared" si="9"/>
        <v/>
      </c>
      <c r="BW12" s="145" t="str">
        <f t="shared" si="10"/>
        <v/>
      </c>
      <c r="BX12" s="145" t="str">
        <f t="shared" si="11"/>
        <v/>
      </c>
      <c r="BY12" s="145" t="str">
        <f t="shared" si="12"/>
        <v/>
      </c>
      <c r="BZ12" s="146" t="str">
        <f t="shared" si="13"/>
        <v/>
      </c>
      <c r="CA12" s="148"/>
      <c r="CB12" s="149"/>
      <c r="CC12" s="149"/>
      <c r="CD12" s="149"/>
      <c r="CE12" s="146"/>
      <c r="CF12" s="180"/>
    </row>
    <row r="13" spans="1:84" s="84" customFormat="1" ht="16.5">
      <c r="A13" s="82"/>
      <c r="B13" s="171">
        <f t="shared" si="14"/>
        <v>5</v>
      </c>
      <c r="C13" s="184"/>
      <c r="D13" s="183" t="s">
        <v>76</v>
      </c>
      <c r="E13" s="183" t="s">
        <v>269</v>
      </c>
      <c r="F13" s="37" t="s">
        <v>255</v>
      </c>
      <c r="G13" s="170" t="s">
        <v>73</v>
      </c>
      <c r="H13" s="33" t="s">
        <v>248</v>
      </c>
      <c r="I13" s="33" t="s">
        <v>277</v>
      </c>
      <c r="J13" s="40"/>
      <c r="K13" s="41"/>
      <c r="L13" s="96"/>
      <c r="M13" s="33"/>
      <c r="N13" s="185"/>
      <c r="O13" s="58"/>
      <c r="P13" s="59"/>
      <c r="Q13" s="59"/>
      <c r="R13" s="59"/>
      <c r="S13" s="60"/>
      <c r="T13" s="61"/>
      <c r="U13" s="62"/>
      <c r="V13" s="59"/>
      <c r="W13" s="63"/>
      <c r="X13" s="44"/>
      <c r="Y13" s="45"/>
      <c r="Z13" s="44"/>
      <c r="AA13" s="45"/>
      <c r="AB13" s="156"/>
      <c r="AC13" s="49"/>
      <c r="AD13" s="85"/>
      <c r="AE13" s="181"/>
      <c r="AF13" s="109"/>
      <c r="AG13" s="88"/>
      <c r="AH13" s="123"/>
      <c r="AI13" s="117"/>
      <c r="AJ13" s="106"/>
      <c r="AK13" s="106"/>
      <c r="AL13" s="156"/>
      <c r="AM13" s="106"/>
      <c r="AN13" s="182"/>
      <c r="AO13" s="182"/>
      <c r="AP13" s="182"/>
      <c r="AQ13" s="138"/>
      <c r="AR13" s="92"/>
      <c r="AS13" s="106"/>
      <c r="AT13" s="111"/>
      <c r="AU13" s="77">
        <v>45488</v>
      </c>
      <c r="AV13" s="45">
        <v>45491</v>
      </c>
      <c r="AW13" s="106"/>
      <c r="AX13" s="106"/>
      <c r="AY13" s="156" t="s">
        <v>278</v>
      </c>
      <c r="AZ13" s="41"/>
      <c r="BA13" s="164" t="str">
        <f t="shared" si="1"/>
        <v/>
      </c>
      <c r="BB13" s="164" t="str">
        <f t="shared" si="1"/>
        <v/>
      </c>
      <c r="BC13" s="109"/>
      <c r="BD13" s="88" t="s">
        <v>88</v>
      </c>
      <c r="BE13" s="123">
        <f t="shared" si="2"/>
        <v>0</v>
      </c>
      <c r="BF13" s="117">
        <v>0</v>
      </c>
      <c r="BG13" s="156" t="s">
        <v>282</v>
      </c>
      <c r="BH13" s="198"/>
      <c r="BI13" s="106"/>
      <c r="BJ13" s="198"/>
      <c r="BK13" s="198"/>
      <c r="BL13" s="138" t="str">
        <f t="shared" si="3"/>
        <v/>
      </c>
      <c r="BM13" s="92"/>
      <c r="BN13" s="106"/>
      <c r="BO13" s="119"/>
      <c r="BQ13" s="98" t="str">
        <f t="shared" si="4"/>
        <v/>
      </c>
      <c r="BR13" s="145" t="str">
        <f t="shared" si="5"/>
        <v/>
      </c>
      <c r="BS13" s="145" t="str">
        <f t="shared" si="6"/>
        <v/>
      </c>
      <c r="BT13" s="145" t="str">
        <f t="shared" si="7"/>
        <v/>
      </c>
      <c r="BU13" s="146" t="str">
        <f t="shared" si="8"/>
        <v/>
      </c>
      <c r="BV13" s="147" t="str">
        <f t="shared" si="9"/>
        <v/>
      </c>
      <c r="BW13" s="145" t="str">
        <f t="shared" si="10"/>
        <v/>
      </c>
      <c r="BX13" s="145" t="str">
        <f t="shared" si="11"/>
        <v/>
      </c>
      <c r="BY13" s="145" t="str">
        <f t="shared" si="12"/>
        <v/>
      </c>
      <c r="BZ13" s="146" t="str">
        <f t="shared" si="13"/>
        <v/>
      </c>
      <c r="CA13" s="148"/>
      <c r="CB13" s="149"/>
      <c r="CC13" s="149"/>
      <c r="CD13" s="149"/>
      <c r="CE13" s="146"/>
      <c r="CF13" s="180"/>
    </row>
    <row r="14" spans="1:84" s="84" customFormat="1" ht="16.5">
      <c r="A14" s="82"/>
      <c r="B14" s="171">
        <f t="shared" ref="B14:B22" si="15">ROW()-開始位置</f>
        <v>6</v>
      </c>
      <c r="C14" s="179"/>
      <c r="D14" s="183" t="s">
        <v>247</v>
      </c>
      <c r="E14" s="183" t="s">
        <v>270</v>
      </c>
      <c r="F14" s="199" t="s">
        <v>256</v>
      </c>
      <c r="G14" s="170" t="s">
        <v>73</v>
      </c>
      <c r="H14" s="33" t="s">
        <v>248</v>
      </c>
      <c r="I14" s="33" t="s">
        <v>74</v>
      </c>
      <c r="J14" s="40"/>
      <c r="K14" s="41"/>
      <c r="L14" s="96"/>
      <c r="M14" s="33"/>
      <c r="N14" s="185"/>
      <c r="O14" s="58"/>
      <c r="P14" s="59"/>
      <c r="Q14" s="59"/>
      <c r="R14" s="59"/>
      <c r="S14" s="60"/>
      <c r="T14" s="61"/>
      <c r="U14" s="62"/>
      <c r="V14" s="59"/>
      <c r="W14" s="63"/>
      <c r="X14" s="44"/>
      <c r="Y14" s="45"/>
      <c r="Z14" s="44"/>
      <c r="AA14" s="45"/>
      <c r="AB14" s="156"/>
      <c r="AC14" s="49"/>
      <c r="AD14" s="85"/>
      <c r="AE14" s="85"/>
      <c r="AF14" s="109"/>
      <c r="AG14" s="88"/>
      <c r="AH14" s="123"/>
      <c r="AI14" s="117"/>
      <c r="AJ14" s="172"/>
      <c r="AK14" s="106"/>
      <c r="AL14" s="156"/>
      <c r="AM14" s="106"/>
      <c r="AN14" s="106"/>
      <c r="AO14" s="106"/>
      <c r="AP14" s="106"/>
      <c r="AQ14" s="138" t="str">
        <f t="shared" ref="AQ14:AQ22" si="16">IF($AI14=1,IF($AF14&lt;$AD14,"過少","良好"),"")</f>
        <v/>
      </c>
      <c r="AR14" s="92"/>
      <c r="AS14" s="106"/>
      <c r="AT14" s="111"/>
      <c r="AU14" s="77">
        <v>45457</v>
      </c>
      <c r="AV14" s="45">
        <v>45478</v>
      </c>
      <c r="AW14" s="106"/>
      <c r="AX14" s="106"/>
      <c r="AY14" s="156" t="s">
        <v>278</v>
      </c>
      <c r="AZ14" s="41"/>
      <c r="BA14" s="164" t="str">
        <f t="shared" si="1"/>
        <v/>
      </c>
      <c r="BB14" s="164" t="str">
        <f t="shared" si="1"/>
        <v/>
      </c>
      <c r="BC14" s="109"/>
      <c r="BD14" s="88" t="s">
        <v>88</v>
      </c>
      <c r="BE14" s="123">
        <f t="shared" si="2"/>
        <v>0</v>
      </c>
      <c r="BF14" s="117">
        <v>0</v>
      </c>
      <c r="BG14" s="156" t="s">
        <v>281</v>
      </c>
      <c r="BH14" s="106"/>
      <c r="BI14" s="106"/>
      <c r="BJ14" s="198"/>
      <c r="BK14" s="106"/>
      <c r="BL14" s="138" t="str">
        <f t="shared" ref="BL14:BL23" si="17">IF($BF14=1,IF($BC14&lt;$BA14,"過少",IF($BC14&gt;$BB14,"超過","良好")),"")</f>
        <v/>
      </c>
      <c r="BM14" s="92"/>
      <c r="BN14" s="106"/>
      <c r="BO14" s="119"/>
      <c r="BQ14" s="98" t="str">
        <f t="shared" ref="BQ14:BQ23" si="18">IF($BU14="","",$BU14*$BQ$4)</f>
        <v/>
      </c>
      <c r="BR14" s="145" t="str">
        <f t="shared" ref="BR14:BR23" si="19">IF($BU14="","",$BU14*$BR$4)</f>
        <v/>
      </c>
      <c r="BS14" s="145" t="str">
        <f t="shared" ref="BS14:BS23" si="20">IF($BU14="","",$BU14*$BS$4)</f>
        <v/>
      </c>
      <c r="BT14" s="145" t="str">
        <f t="shared" ref="BT14:BT23" si="21">IF($BU14="","",$BU14*$BT$4)</f>
        <v/>
      </c>
      <c r="BU14" s="146" t="str">
        <f t="shared" si="8"/>
        <v/>
      </c>
      <c r="BV14" s="147" t="str">
        <f t="shared" ref="BV14:BV23" si="22">IF($BZ14="","",$BZ14*$BQ$4)</f>
        <v/>
      </c>
      <c r="BW14" s="145" t="str">
        <f t="shared" ref="BW14:BW23" si="23">IF($BZ14="","",$BZ14*$BR$4)</f>
        <v/>
      </c>
      <c r="BX14" s="145" t="str">
        <f t="shared" ref="BX14:BX23" si="24">IF($BZ14="","",$BZ14*$BS$4)</f>
        <v/>
      </c>
      <c r="BY14" s="145" t="str">
        <f t="shared" ref="BY14:BY23" si="25">IF($BZ14="","",$BZ14*$BT$4)</f>
        <v/>
      </c>
      <c r="BZ14" s="146" t="str">
        <f t="shared" si="13"/>
        <v/>
      </c>
      <c r="CA14" s="148"/>
      <c r="CB14" s="149"/>
      <c r="CC14" s="149"/>
      <c r="CD14" s="149"/>
      <c r="CE14" s="146"/>
      <c r="CF14" s="180"/>
    </row>
    <row r="15" spans="1:84" s="84" customFormat="1" ht="16.5">
      <c r="A15" s="82"/>
      <c r="B15" s="171">
        <f t="shared" si="15"/>
        <v>7</v>
      </c>
      <c r="C15" s="179"/>
      <c r="D15" s="183" t="s">
        <v>247</v>
      </c>
      <c r="E15" s="183" t="s">
        <v>271</v>
      </c>
      <c r="F15" s="199" t="s">
        <v>259</v>
      </c>
      <c r="G15" s="170" t="s">
        <v>73</v>
      </c>
      <c r="H15" s="33" t="s">
        <v>276</v>
      </c>
      <c r="I15" s="33" t="s">
        <v>74</v>
      </c>
      <c r="J15" s="40"/>
      <c r="K15" s="41"/>
      <c r="L15" s="96"/>
      <c r="M15" s="33"/>
      <c r="N15" s="185"/>
      <c r="O15" s="58"/>
      <c r="P15" s="59"/>
      <c r="Q15" s="59"/>
      <c r="R15" s="59"/>
      <c r="S15" s="60"/>
      <c r="T15" s="61"/>
      <c r="U15" s="62"/>
      <c r="V15" s="59"/>
      <c r="W15" s="63"/>
      <c r="X15" s="44"/>
      <c r="Y15" s="45"/>
      <c r="Z15" s="44"/>
      <c r="AA15" s="45"/>
      <c r="AB15" s="156"/>
      <c r="AC15" s="49"/>
      <c r="AD15" s="85"/>
      <c r="AE15" s="85"/>
      <c r="AF15" s="109"/>
      <c r="AG15" s="88"/>
      <c r="AH15" s="123"/>
      <c r="AI15" s="117"/>
      <c r="AJ15" s="172"/>
      <c r="AK15" s="106"/>
      <c r="AL15" s="156"/>
      <c r="AM15" s="106"/>
      <c r="AN15" s="106"/>
      <c r="AO15" s="106"/>
      <c r="AP15" s="106"/>
      <c r="AQ15" s="138"/>
      <c r="AR15" s="92"/>
      <c r="AS15" s="106"/>
      <c r="AT15" s="111"/>
      <c r="AU15" s="77">
        <v>45463</v>
      </c>
      <c r="AV15" s="45">
        <v>45478</v>
      </c>
      <c r="AW15" s="106"/>
      <c r="AX15" s="106"/>
      <c r="AY15" s="156" t="s">
        <v>278</v>
      </c>
      <c r="AZ15" s="41"/>
      <c r="BA15" s="164" t="str">
        <f t="shared" ref="BA15:BB18" si="26">IF($F15="","",IF($J15="取消","",IF($K15="","",ROUNDUP($K15*BA$3,0))))</f>
        <v/>
      </c>
      <c r="BB15" s="164" t="str">
        <f t="shared" si="26"/>
        <v/>
      </c>
      <c r="BC15" s="109"/>
      <c r="BD15" s="88" t="s">
        <v>88</v>
      </c>
      <c r="BE15" s="123">
        <f t="shared" si="2"/>
        <v>0</v>
      </c>
      <c r="BF15" s="117">
        <v>0</v>
      </c>
      <c r="BG15" s="156" t="s">
        <v>281</v>
      </c>
      <c r="BH15" s="106"/>
      <c r="BI15" s="106"/>
      <c r="BJ15" s="198"/>
      <c r="BK15" s="198"/>
      <c r="BL15" s="138" t="str">
        <f>IF($BF15=1,IF($BC15&lt;$BA15,"過少",IF($BC15&gt;$BB15,"超過","良好")),"")</f>
        <v/>
      </c>
      <c r="BM15" s="92"/>
      <c r="BN15" s="106"/>
      <c r="BO15" s="119"/>
      <c r="BQ15" s="98" t="str">
        <f>IF($BU15="","",$BU15*$BQ$4)</f>
        <v/>
      </c>
      <c r="BR15" s="145" t="str">
        <f>IF($BU15="","",$BU15*$BR$4)</f>
        <v/>
      </c>
      <c r="BS15" s="145" t="str">
        <f>IF($BU15="","",$BU15*$BS$4)</f>
        <v/>
      </c>
      <c r="BT15" s="145" t="str">
        <f>IF($BU15="","",$BU15*$BT$4)</f>
        <v/>
      </c>
      <c r="BU15" s="146" t="str">
        <f>IF($F15="","",IF($J15="取消","",IF($K15="","",ROUNDUP($K15*$AD$3,0))))</f>
        <v/>
      </c>
      <c r="BV15" s="147" t="str">
        <f>IF($BZ15="","",$BZ15*$BQ$4)</f>
        <v/>
      </c>
      <c r="BW15" s="145" t="str">
        <f>IF($BZ15="","",$BZ15*$BR$4)</f>
        <v/>
      </c>
      <c r="BX15" s="145" t="str">
        <f>IF($BZ15="","",$BZ15*$BS$4)</f>
        <v/>
      </c>
      <c r="BY15" s="145" t="str">
        <f>IF($BZ15="","",$BZ15*$BT$4)</f>
        <v/>
      </c>
      <c r="BZ15" s="146" t="str">
        <f>IF($F15="","",IF($J15="取消","",IF($L15="","",ROUNDUP($L15*$AD$3,0))))</f>
        <v/>
      </c>
      <c r="CA15" s="148"/>
      <c r="CB15" s="149"/>
      <c r="CC15" s="149"/>
      <c r="CD15" s="149"/>
      <c r="CE15" s="146"/>
      <c r="CF15" s="180"/>
    </row>
    <row r="16" spans="1:84" s="84" customFormat="1" ht="16.5">
      <c r="A16" s="82"/>
      <c r="B16" s="171">
        <f t="shared" si="15"/>
        <v>8</v>
      </c>
      <c r="C16" s="179"/>
      <c r="D16" s="183" t="s">
        <v>247</v>
      </c>
      <c r="E16" s="183" t="s">
        <v>272</v>
      </c>
      <c r="F16" s="199" t="s">
        <v>260</v>
      </c>
      <c r="G16" s="170" t="s">
        <v>73</v>
      </c>
      <c r="H16" s="33" t="s">
        <v>276</v>
      </c>
      <c r="I16" s="33" t="s">
        <v>74</v>
      </c>
      <c r="J16" s="40"/>
      <c r="K16" s="41"/>
      <c r="L16" s="96"/>
      <c r="M16" s="33"/>
      <c r="N16" s="185"/>
      <c r="O16" s="58"/>
      <c r="P16" s="59"/>
      <c r="Q16" s="59"/>
      <c r="R16" s="59"/>
      <c r="S16" s="60"/>
      <c r="T16" s="61"/>
      <c r="U16" s="62"/>
      <c r="V16" s="59"/>
      <c r="W16" s="63"/>
      <c r="X16" s="44"/>
      <c r="Y16" s="45"/>
      <c r="Z16" s="44"/>
      <c r="AA16" s="45"/>
      <c r="AB16" s="156"/>
      <c r="AC16" s="49"/>
      <c r="AD16" s="85"/>
      <c r="AE16" s="85"/>
      <c r="AF16" s="109"/>
      <c r="AG16" s="88"/>
      <c r="AH16" s="123"/>
      <c r="AI16" s="117"/>
      <c r="AJ16" s="172"/>
      <c r="AK16" s="106"/>
      <c r="AL16" s="156"/>
      <c r="AM16" s="106"/>
      <c r="AN16" s="106"/>
      <c r="AO16" s="106"/>
      <c r="AP16" s="106"/>
      <c r="AQ16" s="138"/>
      <c r="AR16" s="92"/>
      <c r="AS16" s="106"/>
      <c r="AT16" s="111"/>
      <c r="AU16" s="77">
        <v>45467</v>
      </c>
      <c r="AV16" s="45">
        <v>45478</v>
      </c>
      <c r="AW16" s="106"/>
      <c r="AX16" s="106"/>
      <c r="AY16" s="156" t="s">
        <v>278</v>
      </c>
      <c r="AZ16" s="41"/>
      <c r="BA16" s="164" t="str">
        <f t="shared" si="26"/>
        <v/>
      </c>
      <c r="BB16" s="164" t="str">
        <f t="shared" si="26"/>
        <v/>
      </c>
      <c r="BC16" s="109"/>
      <c r="BD16" s="88" t="s">
        <v>88</v>
      </c>
      <c r="BE16" s="123">
        <f t="shared" si="2"/>
        <v>0</v>
      </c>
      <c r="BF16" s="117">
        <v>0</v>
      </c>
      <c r="BG16" s="156" t="s">
        <v>281</v>
      </c>
      <c r="BH16" s="106"/>
      <c r="BI16" s="106"/>
      <c r="BJ16" s="198"/>
      <c r="BK16" s="106"/>
      <c r="BL16" s="138" t="str">
        <f>IF($BF16=1,IF($BC16&lt;$BA16,"過少",IF($BC16&gt;$BB16,"超過","良好")),"")</f>
        <v/>
      </c>
      <c r="BM16" s="92"/>
      <c r="BN16" s="106"/>
      <c r="BO16" s="119"/>
      <c r="BQ16" s="98" t="str">
        <f>IF($BU16="","",$BU16*$BQ$4)</f>
        <v/>
      </c>
      <c r="BR16" s="145" t="str">
        <f>IF($BU16="","",$BU16*$BR$4)</f>
        <v/>
      </c>
      <c r="BS16" s="145" t="str">
        <f>IF($BU16="","",$BU16*$BS$4)</f>
        <v/>
      </c>
      <c r="BT16" s="145" t="str">
        <f>IF($BU16="","",$BU16*$BT$4)</f>
        <v/>
      </c>
      <c r="BU16" s="146" t="str">
        <f>IF($F16="","",IF($J16="取消","",IF($K16="","",ROUNDUP($K16*$AD$3,0))))</f>
        <v/>
      </c>
      <c r="BV16" s="147" t="str">
        <f>IF($BZ16="","",$BZ16*$BQ$4)</f>
        <v/>
      </c>
      <c r="BW16" s="145" t="str">
        <f>IF($BZ16="","",$BZ16*$BR$4)</f>
        <v/>
      </c>
      <c r="BX16" s="145" t="str">
        <f>IF($BZ16="","",$BZ16*$BS$4)</f>
        <v/>
      </c>
      <c r="BY16" s="145" t="str">
        <f>IF($BZ16="","",$BZ16*$BT$4)</f>
        <v/>
      </c>
      <c r="BZ16" s="146" t="str">
        <f>IF($F16="","",IF($J16="取消","",IF($L16="","",ROUNDUP($L16*$AD$3,0))))</f>
        <v/>
      </c>
      <c r="CA16" s="148"/>
      <c r="CB16" s="149"/>
      <c r="CC16" s="149"/>
      <c r="CD16" s="149"/>
      <c r="CE16" s="146"/>
      <c r="CF16" s="180"/>
    </row>
    <row r="17" spans="1:84" s="84" customFormat="1" ht="16.5">
      <c r="A17" s="82"/>
      <c r="B17" s="171">
        <f t="shared" si="15"/>
        <v>9</v>
      </c>
      <c r="C17" s="179"/>
      <c r="D17" s="183" t="s">
        <v>247</v>
      </c>
      <c r="E17" s="183"/>
      <c r="F17" s="199" t="s">
        <v>261</v>
      </c>
      <c r="G17" s="170" t="s">
        <v>73</v>
      </c>
      <c r="H17" s="33" t="s">
        <v>276</v>
      </c>
      <c r="I17" s="33" t="s">
        <v>74</v>
      </c>
      <c r="J17" s="40"/>
      <c r="K17" s="41"/>
      <c r="L17" s="96"/>
      <c r="M17" s="33"/>
      <c r="N17" s="185"/>
      <c r="O17" s="58"/>
      <c r="P17" s="59"/>
      <c r="Q17" s="59"/>
      <c r="R17" s="59"/>
      <c r="S17" s="60"/>
      <c r="T17" s="61"/>
      <c r="U17" s="62"/>
      <c r="V17" s="59"/>
      <c r="W17" s="63"/>
      <c r="X17" s="44"/>
      <c r="Y17" s="45"/>
      <c r="Z17" s="44"/>
      <c r="AA17" s="45"/>
      <c r="AB17" s="156"/>
      <c r="AC17" s="49"/>
      <c r="AD17" s="85"/>
      <c r="AE17" s="85"/>
      <c r="AF17" s="109"/>
      <c r="AG17" s="88"/>
      <c r="AH17" s="123"/>
      <c r="AI17" s="117"/>
      <c r="AJ17" s="172"/>
      <c r="AK17" s="106"/>
      <c r="AL17" s="156"/>
      <c r="AM17" s="106"/>
      <c r="AN17" s="106"/>
      <c r="AO17" s="106"/>
      <c r="AP17" s="106"/>
      <c r="AQ17" s="138"/>
      <c r="AR17" s="92"/>
      <c r="AS17" s="106"/>
      <c r="AT17" s="111"/>
      <c r="AU17" s="77">
        <v>45469</v>
      </c>
      <c r="AV17" s="45">
        <v>45478</v>
      </c>
      <c r="AW17" s="106"/>
      <c r="AX17" s="106"/>
      <c r="AY17" s="156" t="s">
        <v>278</v>
      </c>
      <c r="AZ17" s="41"/>
      <c r="BA17" s="164" t="str">
        <f t="shared" si="26"/>
        <v/>
      </c>
      <c r="BB17" s="164" t="str">
        <f t="shared" si="26"/>
        <v/>
      </c>
      <c r="BC17" s="109"/>
      <c r="BD17" s="88" t="s">
        <v>88</v>
      </c>
      <c r="BE17" s="123">
        <f t="shared" si="2"/>
        <v>0</v>
      </c>
      <c r="BF17" s="117">
        <v>0</v>
      </c>
      <c r="BG17" s="156" t="s">
        <v>281</v>
      </c>
      <c r="BH17" s="106"/>
      <c r="BI17" s="106"/>
      <c r="BJ17" s="198"/>
      <c r="BK17" s="198"/>
      <c r="BL17" s="138" t="str">
        <f>IF($BF17=1,IF($BC17&lt;$BA17,"過少",IF($BC17&gt;$BB17,"超過","良好")),"")</f>
        <v/>
      </c>
      <c r="BM17" s="92"/>
      <c r="BN17" s="106"/>
      <c r="BO17" s="119"/>
      <c r="BQ17" s="98" t="str">
        <f>IF($BU17="","",$BU17*$BQ$4)</f>
        <v/>
      </c>
      <c r="BR17" s="145" t="str">
        <f>IF($BU17="","",$BU17*$BR$4)</f>
        <v/>
      </c>
      <c r="BS17" s="145" t="str">
        <f>IF($BU17="","",$BU17*$BS$4)</f>
        <v/>
      </c>
      <c r="BT17" s="145" t="str">
        <f>IF($BU17="","",$BU17*$BT$4)</f>
        <v/>
      </c>
      <c r="BU17" s="146" t="str">
        <f>IF($F17="","",IF($J17="取消","",IF($K17="","",ROUNDUP($K17*$AD$3,0))))</f>
        <v/>
      </c>
      <c r="BV17" s="147" t="str">
        <f>IF($BZ17="","",$BZ17*$BQ$4)</f>
        <v/>
      </c>
      <c r="BW17" s="145" t="str">
        <f>IF($BZ17="","",$BZ17*$BR$4)</f>
        <v/>
      </c>
      <c r="BX17" s="145" t="str">
        <f>IF($BZ17="","",$BZ17*$BS$4)</f>
        <v/>
      </c>
      <c r="BY17" s="145" t="str">
        <f>IF($BZ17="","",$BZ17*$BT$4)</f>
        <v/>
      </c>
      <c r="BZ17" s="146" t="str">
        <f>IF($F17="","",IF($J17="取消","",IF($L17="","",ROUNDUP($L17*$AD$3,0))))</f>
        <v/>
      </c>
      <c r="CA17" s="148"/>
      <c r="CB17" s="149"/>
      <c r="CC17" s="149"/>
      <c r="CD17" s="149"/>
      <c r="CE17" s="146"/>
      <c r="CF17" s="180"/>
    </row>
    <row r="18" spans="1:84" s="84" customFormat="1" ht="16.5">
      <c r="A18" s="82"/>
      <c r="B18" s="171">
        <f t="shared" si="15"/>
        <v>10</v>
      </c>
      <c r="C18" s="179"/>
      <c r="D18" s="183" t="s">
        <v>247</v>
      </c>
      <c r="E18" s="183"/>
      <c r="F18" s="199" t="s">
        <v>262</v>
      </c>
      <c r="G18" s="170" t="s">
        <v>73</v>
      </c>
      <c r="H18" s="33" t="s">
        <v>276</v>
      </c>
      <c r="I18" s="33" t="s">
        <v>74</v>
      </c>
      <c r="J18" s="40"/>
      <c r="K18" s="41"/>
      <c r="L18" s="96"/>
      <c r="M18" s="33"/>
      <c r="N18" s="185"/>
      <c r="O18" s="58"/>
      <c r="P18" s="59"/>
      <c r="Q18" s="59"/>
      <c r="R18" s="59"/>
      <c r="S18" s="60"/>
      <c r="T18" s="61"/>
      <c r="U18" s="62"/>
      <c r="V18" s="59"/>
      <c r="W18" s="63"/>
      <c r="X18" s="44"/>
      <c r="Y18" s="45"/>
      <c r="Z18" s="44"/>
      <c r="AA18" s="45"/>
      <c r="AB18" s="156"/>
      <c r="AC18" s="49"/>
      <c r="AD18" s="85"/>
      <c r="AE18" s="85"/>
      <c r="AF18" s="109"/>
      <c r="AG18" s="88"/>
      <c r="AH18" s="123"/>
      <c r="AI18" s="117"/>
      <c r="AJ18" s="172"/>
      <c r="AK18" s="106"/>
      <c r="AL18" s="156"/>
      <c r="AM18" s="106"/>
      <c r="AN18" s="106"/>
      <c r="AO18" s="106"/>
      <c r="AP18" s="106"/>
      <c r="AQ18" s="138"/>
      <c r="AR18" s="92"/>
      <c r="AS18" s="106"/>
      <c r="AT18" s="111"/>
      <c r="AU18" s="77">
        <v>45471</v>
      </c>
      <c r="AV18" s="45">
        <v>45478</v>
      </c>
      <c r="AW18" s="106"/>
      <c r="AX18" s="106"/>
      <c r="AY18" s="156" t="s">
        <v>278</v>
      </c>
      <c r="AZ18" s="41"/>
      <c r="BA18" s="164" t="str">
        <f t="shared" si="26"/>
        <v/>
      </c>
      <c r="BB18" s="164" t="str">
        <f t="shared" si="26"/>
        <v/>
      </c>
      <c r="BC18" s="109"/>
      <c r="BD18" s="88" t="s">
        <v>88</v>
      </c>
      <c r="BE18" s="123">
        <f t="shared" si="2"/>
        <v>0</v>
      </c>
      <c r="BF18" s="117">
        <v>0</v>
      </c>
      <c r="BG18" s="156" t="s">
        <v>281</v>
      </c>
      <c r="BH18" s="106"/>
      <c r="BI18" s="106"/>
      <c r="BJ18" s="198"/>
      <c r="BK18" s="106"/>
      <c r="BL18" s="138" t="str">
        <f>IF($BF18=1,IF($BC18&lt;$BA18,"過少",IF($BC18&gt;$BB18,"超過","良好")),"")</f>
        <v/>
      </c>
      <c r="BM18" s="92"/>
      <c r="BN18" s="106"/>
      <c r="BO18" s="119"/>
      <c r="BQ18" s="98" t="str">
        <f>IF($BU18="","",$BU18*$BQ$4)</f>
        <v/>
      </c>
      <c r="BR18" s="145" t="str">
        <f>IF($BU18="","",$BU18*$BR$4)</f>
        <v/>
      </c>
      <c r="BS18" s="145" t="str">
        <f>IF($BU18="","",$BU18*$BS$4)</f>
        <v/>
      </c>
      <c r="BT18" s="145" t="str">
        <f>IF($BU18="","",$BU18*$BT$4)</f>
        <v/>
      </c>
      <c r="BU18" s="146" t="str">
        <f>IF($F18="","",IF($J18="取消","",IF($K18="","",ROUNDUP($K18*$AD$3,0))))</f>
        <v/>
      </c>
      <c r="BV18" s="147" t="str">
        <f>IF($BZ18="","",$BZ18*$BQ$4)</f>
        <v/>
      </c>
      <c r="BW18" s="145" t="str">
        <f>IF($BZ18="","",$BZ18*$BR$4)</f>
        <v/>
      </c>
      <c r="BX18" s="145" t="str">
        <f>IF($BZ18="","",$BZ18*$BS$4)</f>
        <v/>
      </c>
      <c r="BY18" s="145" t="str">
        <f>IF($BZ18="","",$BZ18*$BT$4)</f>
        <v/>
      </c>
      <c r="BZ18" s="146" t="str">
        <f>IF($F18="","",IF($J18="取消","",IF($L18="","",ROUNDUP($L18*$AD$3,0))))</f>
        <v/>
      </c>
      <c r="CA18" s="148"/>
      <c r="CB18" s="149"/>
      <c r="CC18" s="149"/>
      <c r="CD18" s="149"/>
      <c r="CE18" s="146"/>
      <c r="CF18" s="180"/>
    </row>
    <row r="19" spans="1:84" s="84" customFormat="1" ht="16.5">
      <c r="A19" s="82"/>
      <c r="B19" s="171">
        <f t="shared" si="15"/>
        <v>11</v>
      </c>
      <c r="C19" s="179"/>
      <c r="D19" s="183" t="s">
        <v>247</v>
      </c>
      <c r="E19" s="183"/>
      <c r="F19" s="37" t="s">
        <v>257</v>
      </c>
      <c r="G19" s="170" t="s">
        <v>73</v>
      </c>
      <c r="H19" s="33" t="s">
        <v>248</v>
      </c>
      <c r="I19" s="33" t="s">
        <v>74</v>
      </c>
      <c r="J19" s="40"/>
      <c r="K19" s="41"/>
      <c r="L19" s="96"/>
      <c r="M19" s="33"/>
      <c r="N19" s="185"/>
      <c r="O19" s="58"/>
      <c r="P19" s="59"/>
      <c r="Q19" s="59"/>
      <c r="R19" s="59"/>
      <c r="S19" s="60"/>
      <c r="T19" s="61"/>
      <c r="U19" s="62"/>
      <c r="V19" s="59"/>
      <c r="W19" s="63"/>
      <c r="X19" s="44"/>
      <c r="Y19" s="45"/>
      <c r="Z19" s="44"/>
      <c r="AA19" s="45"/>
      <c r="AB19" s="156"/>
      <c r="AC19" s="49"/>
      <c r="AD19" s="85"/>
      <c r="AE19" s="85"/>
      <c r="AF19" s="109"/>
      <c r="AG19" s="88"/>
      <c r="AH19" s="123"/>
      <c r="AI19" s="117"/>
      <c r="AJ19" s="172"/>
      <c r="AK19" s="106"/>
      <c r="AL19" s="156"/>
      <c r="AM19" s="106"/>
      <c r="AN19" s="106"/>
      <c r="AO19" s="106"/>
      <c r="AP19" s="106"/>
      <c r="AQ19" s="138" t="str">
        <f t="shared" si="16"/>
        <v/>
      </c>
      <c r="AR19" s="92"/>
      <c r="AS19" s="106"/>
      <c r="AT19" s="111"/>
      <c r="AU19" s="77">
        <v>45469</v>
      </c>
      <c r="AV19" s="45">
        <v>45471</v>
      </c>
      <c r="AW19" s="106"/>
      <c r="AX19" s="106"/>
      <c r="AY19" s="156" t="s">
        <v>280</v>
      </c>
      <c r="AZ19" s="41"/>
      <c r="BA19" s="164" t="str">
        <f t="shared" si="1"/>
        <v/>
      </c>
      <c r="BB19" s="164" t="str">
        <f t="shared" si="1"/>
        <v/>
      </c>
      <c r="BC19" s="109"/>
      <c r="BD19" s="88" t="s">
        <v>88</v>
      </c>
      <c r="BE19" s="123">
        <f t="shared" si="2"/>
        <v>0</v>
      </c>
      <c r="BF19" s="117">
        <v>0</v>
      </c>
      <c r="BG19" s="156" t="s">
        <v>281</v>
      </c>
      <c r="BH19" s="106"/>
      <c r="BI19" s="106"/>
      <c r="BJ19" s="198"/>
      <c r="BK19" s="198"/>
      <c r="BL19" s="138" t="str">
        <f t="shared" si="3"/>
        <v/>
      </c>
      <c r="BM19" s="92"/>
      <c r="BN19" s="106"/>
      <c r="BO19" s="119"/>
      <c r="BQ19" s="98" t="str">
        <f t="shared" si="4"/>
        <v/>
      </c>
      <c r="BR19" s="145" t="str">
        <f t="shared" si="5"/>
        <v/>
      </c>
      <c r="BS19" s="145" t="str">
        <f t="shared" si="6"/>
        <v/>
      </c>
      <c r="BT19" s="145" t="str">
        <f t="shared" si="7"/>
        <v/>
      </c>
      <c r="BU19" s="146" t="str">
        <f t="shared" si="8"/>
        <v/>
      </c>
      <c r="BV19" s="147" t="str">
        <f t="shared" si="9"/>
        <v/>
      </c>
      <c r="BW19" s="145" t="str">
        <f t="shared" si="10"/>
        <v/>
      </c>
      <c r="BX19" s="145" t="str">
        <f t="shared" si="11"/>
        <v/>
      </c>
      <c r="BY19" s="145" t="str">
        <f t="shared" si="12"/>
        <v/>
      </c>
      <c r="BZ19" s="146" t="str">
        <f t="shared" si="13"/>
        <v/>
      </c>
      <c r="CA19" s="148"/>
      <c r="CB19" s="149"/>
      <c r="CC19" s="149"/>
      <c r="CD19" s="149"/>
      <c r="CE19" s="146"/>
      <c r="CF19" s="180"/>
    </row>
    <row r="20" spans="1:84" s="84" customFormat="1" ht="16.5">
      <c r="A20" s="82"/>
      <c r="B20" s="171">
        <f t="shared" si="15"/>
        <v>12</v>
      </c>
      <c r="C20" s="179"/>
      <c r="D20" s="183" t="s">
        <v>247</v>
      </c>
      <c r="E20" s="183"/>
      <c r="F20" s="37" t="s">
        <v>258</v>
      </c>
      <c r="G20" s="170" t="s">
        <v>73</v>
      </c>
      <c r="H20" s="33" t="s">
        <v>248</v>
      </c>
      <c r="I20" s="33" t="s">
        <v>74</v>
      </c>
      <c r="J20" s="40"/>
      <c r="K20" s="41"/>
      <c r="L20" s="96"/>
      <c r="M20" s="33"/>
      <c r="N20" s="185"/>
      <c r="O20" s="58"/>
      <c r="P20" s="59"/>
      <c r="Q20" s="59"/>
      <c r="R20" s="59"/>
      <c r="S20" s="60"/>
      <c r="T20" s="61"/>
      <c r="U20" s="62"/>
      <c r="V20" s="59"/>
      <c r="W20" s="63"/>
      <c r="X20" s="44"/>
      <c r="Y20" s="45"/>
      <c r="Z20" s="44"/>
      <c r="AA20" s="45"/>
      <c r="AB20" s="156"/>
      <c r="AC20" s="49"/>
      <c r="AD20" s="85"/>
      <c r="AE20" s="85"/>
      <c r="AF20" s="109"/>
      <c r="AG20" s="88"/>
      <c r="AH20" s="123"/>
      <c r="AI20" s="117"/>
      <c r="AJ20" s="172"/>
      <c r="AK20" s="106"/>
      <c r="AL20" s="156"/>
      <c r="AM20" s="106"/>
      <c r="AN20" s="106"/>
      <c r="AO20" s="106"/>
      <c r="AP20" s="106"/>
      <c r="AQ20" s="138"/>
      <c r="AR20" s="92"/>
      <c r="AS20" s="106"/>
      <c r="AT20" s="111"/>
      <c r="AU20" s="77">
        <v>45474</v>
      </c>
      <c r="AV20" s="45">
        <v>45481</v>
      </c>
      <c r="AW20" s="106"/>
      <c r="AX20" s="106"/>
      <c r="AY20" s="156" t="s">
        <v>280</v>
      </c>
      <c r="AZ20" s="41"/>
      <c r="BA20" s="164" t="str">
        <f t="shared" ref="BA20:BB22" si="27">IF($F20="","",IF($J20="取消","",IF($K20="","",ROUNDUP($K20*BA$3,0))))</f>
        <v/>
      </c>
      <c r="BB20" s="164" t="str">
        <f t="shared" si="27"/>
        <v/>
      </c>
      <c r="BC20" s="109"/>
      <c r="BD20" s="88" t="s">
        <v>88</v>
      </c>
      <c r="BE20" s="123">
        <f t="shared" si="2"/>
        <v>0</v>
      </c>
      <c r="BF20" s="117">
        <v>0</v>
      </c>
      <c r="BG20" s="156" t="s">
        <v>281</v>
      </c>
      <c r="BH20" s="106"/>
      <c r="BI20" s="106"/>
      <c r="BJ20" s="198"/>
      <c r="BK20" s="106"/>
      <c r="BL20" s="138" t="str">
        <f t="shared" si="3"/>
        <v/>
      </c>
      <c r="BM20" s="92"/>
      <c r="BN20" s="106"/>
      <c r="BO20" s="119"/>
      <c r="BQ20" s="98" t="str">
        <f t="shared" si="4"/>
        <v/>
      </c>
      <c r="BR20" s="145" t="str">
        <f t="shared" si="5"/>
        <v/>
      </c>
      <c r="BS20" s="145" t="str">
        <f t="shared" si="6"/>
        <v/>
      </c>
      <c r="BT20" s="145" t="str">
        <f t="shared" si="7"/>
        <v/>
      </c>
      <c r="BU20" s="146" t="str">
        <f t="shared" si="8"/>
        <v/>
      </c>
      <c r="BV20" s="147" t="str">
        <f t="shared" si="9"/>
        <v/>
      </c>
      <c r="BW20" s="145" t="str">
        <f t="shared" si="10"/>
        <v/>
      </c>
      <c r="BX20" s="145" t="str">
        <f t="shared" si="11"/>
        <v/>
      </c>
      <c r="BY20" s="145" t="str">
        <f t="shared" si="12"/>
        <v/>
      </c>
      <c r="BZ20" s="146" t="str">
        <f t="shared" si="13"/>
        <v/>
      </c>
      <c r="CA20" s="148"/>
      <c r="CB20" s="149"/>
      <c r="CC20" s="149"/>
      <c r="CD20" s="149"/>
      <c r="CE20" s="146"/>
      <c r="CF20" s="180"/>
    </row>
    <row r="21" spans="1:84" s="84" customFormat="1" ht="16.5">
      <c r="A21" s="82"/>
      <c r="B21" s="171">
        <f t="shared" si="15"/>
        <v>13</v>
      </c>
      <c r="C21" s="184"/>
      <c r="D21" s="183" t="s">
        <v>275</v>
      </c>
      <c r="E21" s="183" t="s">
        <v>273</v>
      </c>
      <c r="F21" s="37" t="s">
        <v>263</v>
      </c>
      <c r="G21" s="170" t="s">
        <v>73</v>
      </c>
      <c r="H21" s="33" t="s">
        <v>248</v>
      </c>
      <c r="I21" s="33" t="s">
        <v>74</v>
      </c>
      <c r="J21" s="40"/>
      <c r="K21" s="41"/>
      <c r="L21" s="96"/>
      <c r="M21" s="33"/>
      <c r="N21" s="185"/>
      <c r="O21" s="58"/>
      <c r="P21" s="59"/>
      <c r="Q21" s="59"/>
      <c r="R21" s="59"/>
      <c r="S21" s="60"/>
      <c r="T21" s="61"/>
      <c r="U21" s="62"/>
      <c r="V21" s="59"/>
      <c r="W21" s="63"/>
      <c r="X21" s="44"/>
      <c r="Y21" s="45"/>
      <c r="Z21" s="44"/>
      <c r="AA21" s="45"/>
      <c r="AB21" s="156"/>
      <c r="AC21" s="49"/>
      <c r="AD21" s="85"/>
      <c r="AE21" s="85"/>
      <c r="AF21" s="109"/>
      <c r="AG21" s="88"/>
      <c r="AH21" s="123"/>
      <c r="AI21" s="117"/>
      <c r="AJ21" s="172"/>
      <c r="AK21" s="106"/>
      <c r="AL21" s="156"/>
      <c r="AM21" s="106"/>
      <c r="AN21" s="106"/>
      <c r="AO21" s="106"/>
      <c r="AP21" s="106"/>
      <c r="AQ21" s="138"/>
      <c r="AR21" s="92"/>
      <c r="AS21" s="106"/>
      <c r="AT21" s="111"/>
      <c r="AU21" s="77">
        <v>45481</v>
      </c>
      <c r="AV21" s="45">
        <v>45483</v>
      </c>
      <c r="AW21" s="106"/>
      <c r="AX21" s="106"/>
      <c r="AY21" s="156" t="s">
        <v>278</v>
      </c>
      <c r="AZ21" s="41"/>
      <c r="BA21" s="164" t="str">
        <f t="shared" si="27"/>
        <v/>
      </c>
      <c r="BB21" s="164" t="str">
        <f t="shared" si="27"/>
        <v/>
      </c>
      <c r="BC21" s="109"/>
      <c r="BD21" s="88" t="s">
        <v>88</v>
      </c>
      <c r="BE21" s="123">
        <f t="shared" si="2"/>
        <v>0</v>
      </c>
      <c r="BF21" s="117">
        <v>0</v>
      </c>
      <c r="BG21" s="156" t="s">
        <v>282</v>
      </c>
      <c r="BH21" s="198"/>
      <c r="BI21" s="198"/>
      <c r="BJ21" s="198"/>
      <c r="BK21" s="106"/>
      <c r="BL21" s="138" t="str">
        <f t="shared" si="3"/>
        <v/>
      </c>
      <c r="BM21" s="92"/>
      <c r="BN21" s="106"/>
      <c r="BO21" s="119"/>
      <c r="BQ21" s="98" t="str">
        <f t="shared" si="4"/>
        <v/>
      </c>
      <c r="BR21" s="145" t="str">
        <f t="shared" si="5"/>
        <v/>
      </c>
      <c r="BS21" s="145" t="str">
        <f t="shared" si="6"/>
        <v/>
      </c>
      <c r="BT21" s="145" t="str">
        <f t="shared" si="7"/>
        <v/>
      </c>
      <c r="BU21" s="146" t="str">
        <f t="shared" si="8"/>
        <v/>
      </c>
      <c r="BV21" s="147" t="str">
        <f t="shared" si="9"/>
        <v/>
      </c>
      <c r="BW21" s="145" t="str">
        <f t="shared" si="10"/>
        <v/>
      </c>
      <c r="BX21" s="145" t="str">
        <f t="shared" si="11"/>
        <v/>
      </c>
      <c r="BY21" s="145" t="str">
        <f t="shared" si="12"/>
        <v/>
      </c>
      <c r="BZ21" s="146" t="str">
        <f t="shared" si="13"/>
        <v/>
      </c>
      <c r="CA21" s="148"/>
      <c r="CB21" s="149"/>
      <c r="CC21" s="149"/>
      <c r="CD21" s="149"/>
      <c r="CE21" s="146"/>
      <c r="CF21" s="180"/>
    </row>
    <row r="22" spans="1:84" s="84" customFormat="1" ht="16.5">
      <c r="A22" s="82"/>
      <c r="B22" s="171">
        <f t="shared" si="15"/>
        <v>14</v>
      </c>
      <c r="C22" s="179"/>
      <c r="D22" s="183" t="s">
        <v>275</v>
      </c>
      <c r="E22" s="183" t="s">
        <v>274</v>
      </c>
      <c r="F22" s="37" t="s">
        <v>264</v>
      </c>
      <c r="G22" s="170" t="s">
        <v>73</v>
      </c>
      <c r="H22" s="33" t="s">
        <v>248</v>
      </c>
      <c r="I22" s="33" t="s">
        <v>74</v>
      </c>
      <c r="J22" s="40"/>
      <c r="K22" s="41"/>
      <c r="L22" s="96"/>
      <c r="M22" s="33"/>
      <c r="N22" s="185"/>
      <c r="O22" s="58"/>
      <c r="P22" s="59"/>
      <c r="Q22" s="59"/>
      <c r="R22" s="59"/>
      <c r="S22" s="60"/>
      <c r="T22" s="61"/>
      <c r="U22" s="62"/>
      <c r="V22" s="59"/>
      <c r="W22" s="63"/>
      <c r="X22" s="44"/>
      <c r="Y22" s="45"/>
      <c r="Z22" s="44"/>
      <c r="AA22" s="45"/>
      <c r="AB22" s="156"/>
      <c r="AC22" s="49"/>
      <c r="AD22" s="85"/>
      <c r="AE22" s="85"/>
      <c r="AF22" s="109"/>
      <c r="AG22" s="88"/>
      <c r="AH22" s="123"/>
      <c r="AI22" s="117"/>
      <c r="AJ22" s="172"/>
      <c r="AK22" s="106"/>
      <c r="AL22" s="156"/>
      <c r="AM22" s="106"/>
      <c r="AN22" s="106"/>
      <c r="AO22" s="106"/>
      <c r="AP22" s="106"/>
      <c r="AQ22" s="138" t="str">
        <f t="shared" si="16"/>
        <v/>
      </c>
      <c r="AR22" s="92"/>
      <c r="AS22" s="106"/>
      <c r="AT22" s="111"/>
      <c r="AU22" s="77">
        <v>45483</v>
      </c>
      <c r="AV22" s="45">
        <v>45485</v>
      </c>
      <c r="AW22" s="106"/>
      <c r="AX22" s="106"/>
      <c r="AY22" s="156" t="s">
        <v>278</v>
      </c>
      <c r="AZ22" s="41"/>
      <c r="BA22" s="164" t="str">
        <f t="shared" si="27"/>
        <v/>
      </c>
      <c r="BB22" s="164" t="str">
        <f t="shared" si="27"/>
        <v/>
      </c>
      <c r="BC22" s="109"/>
      <c r="BD22" s="88" t="s">
        <v>88</v>
      </c>
      <c r="BE22" s="123">
        <f t="shared" si="2"/>
        <v>0</v>
      </c>
      <c r="BF22" s="117">
        <v>0</v>
      </c>
      <c r="BG22" s="156" t="s">
        <v>282</v>
      </c>
      <c r="BH22" s="198"/>
      <c r="BI22" s="106"/>
      <c r="BJ22" s="198"/>
      <c r="BK22" s="106"/>
      <c r="BL22" s="138" t="str">
        <f t="shared" si="17"/>
        <v/>
      </c>
      <c r="BM22" s="92"/>
      <c r="BN22" s="106"/>
      <c r="BO22" s="119"/>
      <c r="BQ22" s="98" t="str">
        <f t="shared" si="18"/>
        <v/>
      </c>
      <c r="BR22" s="145" t="str">
        <f t="shared" si="19"/>
        <v/>
      </c>
      <c r="BS22" s="145" t="str">
        <f t="shared" si="20"/>
        <v/>
      </c>
      <c r="BT22" s="145" t="str">
        <f t="shared" si="21"/>
        <v/>
      </c>
      <c r="BU22" s="146" t="str">
        <f t="shared" si="8"/>
        <v/>
      </c>
      <c r="BV22" s="147" t="str">
        <f t="shared" si="22"/>
        <v/>
      </c>
      <c r="BW22" s="145" t="str">
        <f t="shared" si="23"/>
        <v/>
      </c>
      <c r="BX22" s="145" t="str">
        <f t="shared" si="24"/>
        <v/>
      </c>
      <c r="BY22" s="145" t="str">
        <f t="shared" si="25"/>
        <v/>
      </c>
      <c r="BZ22" s="146" t="str">
        <f t="shared" si="13"/>
        <v/>
      </c>
      <c r="CA22" s="148"/>
      <c r="CB22" s="149"/>
      <c r="CC22" s="149"/>
      <c r="CD22" s="149"/>
      <c r="CE22" s="146"/>
      <c r="CF22" s="180"/>
    </row>
    <row r="23" spans="1:84" s="84" customFormat="1">
      <c r="A23" s="82"/>
      <c r="B23" s="75"/>
      <c r="C23" s="34"/>
      <c r="D23" s="34"/>
      <c r="E23" s="34"/>
      <c r="F23" s="38"/>
      <c r="G23" s="35"/>
      <c r="H23" s="35"/>
      <c r="I23" s="35"/>
      <c r="J23" s="42"/>
      <c r="K23" s="43"/>
      <c r="L23" s="97"/>
      <c r="M23" s="35"/>
      <c r="N23" s="104"/>
      <c r="O23" s="64"/>
      <c r="P23" s="65"/>
      <c r="Q23" s="65"/>
      <c r="R23" s="65"/>
      <c r="S23" s="66"/>
      <c r="T23" s="67"/>
      <c r="U23" s="68"/>
      <c r="V23" s="65"/>
      <c r="W23" s="69"/>
      <c r="X23" s="46"/>
      <c r="Y23" s="47"/>
      <c r="Z23" s="47"/>
      <c r="AA23" s="47"/>
      <c r="AB23" s="157"/>
      <c r="AC23" s="50"/>
      <c r="AD23" s="165" t="str">
        <f>IF($F23="","",IF($J23="取消","",IF($K23="","",ROUNDUP($K23*AD$3,1))))</f>
        <v/>
      </c>
      <c r="AE23" s="165" t="str">
        <f>IF($F23="","",IF($J23="取消","",IF($K23="","",ROUNDUP($K23*AE$3,1))))</f>
        <v/>
      </c>
      <c r="AF23" s="110"/>
      <c r="AG23" s="89"/>
      <c r="AH23" s="124" t="str">
        <f>IF(AG23="","",VLOOKUP(AG23,$AG$26:$AI$35,3,FALSE))</f>
        <v/>
      </c>
      <c r="AI23" s="118"/>
      <c r="AJ23" s="107"/>
      <c r="AK23" s="107"/>
      <c r="AL23" s="157"/>
      <c r="AM23" s="107"/>
      <c r="AN23" s="107"/>
      <c r="AO23" s="107"/>
      <c r="AP23" s="107"/>
      <c r="AQ23" s="139" t="str">
        <f>IF($AI23=1,IF($AF23&lt;$AD23,"過少","良好"),"")</f>
        <v/>
      </c>
      <c r="AR23" s="93"/>
      <c r="AS23" s="107"/>
      <c r="AT23" s="112"/>
      <c r="AU23" s="78"/>
      <c r="AV23" s="47"/>
      <c r="AW23" s="107"/>
      <c r="AX23" s="107"/>
      <c r="AY23" s="157"/>
      <c r="AZ23" s="50"/>
      <c r="BA23" s="165" t="str">
        <f t="shared" ref="BA23" si="28">IF($F23="","",IF($J23="取消","",IF($K23="","",ROUNDUP($K23*BA$3,0))))</f>
        <v/>
      </c>
      <c r="BB23" s="165" t="str">
        <f t="shared" ref="BB23" si="29">IF($F23="","",IF($J23="取消","",IF($K23="","",ROUNDUP($K23*BB$3,0))))</f>
        <v/>
      </c>
      <c r="BC23" s="110"/>
      <c r="BD23" s="89"/>
      <c r="BE23" s="124" t="str">
        <f t="shared" si="2"/>
        <v/>
      </c>
      <c r="BF23" s="118"/>
      <c r="BG23" s="157"/>
      <c r="BH23" s="157"/>
      <c r="BI23" s="157"/>
      <c r="BJ23" s="157"/>
      <c r="BK23" s="157"/>
      <c r="BL23" s="139" t="str">
        <f t="shared" si="17"/>
        <v/>
      </c>
      <c r="BM23" s="93"/>
      <c r="BN23" s="107"/>
      <c r="BO23" s="120"/>
      <c r="BQ23" s="99" t="str">
        <f t="shared" si="18"/>
        <v/>
      </c>
      <c r="BR23" s="150" t="str">
        <f t="shared" si="19"/>
        <v/>
      </c>
      <c r="BS23" s="150" t="str">
        <f t="shared" si="20"/>
        <v/>
      </c>
      <c r="BT23" s="150" t="str">
        <f t="shared" si="21"/>
        <v/>
      </c>
      <c r="BU23" s="151" t="str">
        <f t="shared" si="8"/>
        <v/>
      </c>
      <c r="BV23" s="152" t="str">
        <f t="shared" si="22"/>
        <v/>
      </c>
      <c r="BW23" s="150" t="str">
        <f t="shared" si="23"/>
        <v/>
      </c>
      <c r="BX23" s="150" t="str">
        <f t="shared" si="24"/>
        <v/>
      </c>
      <c r="BY23" s="150" t="str">
        <f t="shared" si="25"/>
        <v/>
      </c>
      <c r="BZ23" s="151" t="str">
        <f t="shared" si="13"/>
        <v/>
      </c>
      <c r="CA23" s="153"/>
      <c r="CB23" s="154"/>
      <c r="CC23" s="154"/>
      <c r="CD23" s="154"/>
      <c r="CE23" s="151" t="str">
        <f t="shared" ref="CE23" si="30">IF(SUM(CA23:CD23)=0,"",SUM(CA23:CD23))</f>
        <v/>
      </c>
      <c r="CF23" s="180"/>
    </row>
    <row r="24" spans="1:84" ht="15.75">
      <c r="A24" s="73">
        <f>ROW()</f>
        <v>24</v>
      </c>
      <c r="B24" s="202" t="s">
        <v>86</v>
      </c>
      <c r="C24" s="202"/>
      <c r="D24" s="202"/>
      <c r="E24" s="202"/>
      <c r="F24" s="202"/>
      <c r="K24" s="7">
        <f>SUM(K9:K23)</f>
        <v>0</v>
      </c>
      <c r="L24" s="7">
        <f>SUM(L9:L23)</f>
        <v>0</v>
      </c>
      <c r="M24" s="9"/>
      <c r="N24" s="9"/>
      <c r="O24" s="13">
        <f>MIN(O9:O23)</f>
        <v>0</v>
      </c>
      <c r="P24" s="13">
        <f>MAX(P9:P23)</f>
        <v>0</v>
      </c>
      <c r="Q24" s="13">
        <f>MIN(Q9:Q23)</f>
        <v>0</v>
      </c>
      <c r="R24" s="13">
        <f>MAX(R9:R23)</f>
        <v>0</v>
      </c>
      <c r="S24" s="9"/>
      <c r="T24" s="10"/>
      <c r="U24" s="9"/>
      <c r="V24" s="9"/>
      <c r="W24" s="11"/>
      <c r="X24" s="13">
        <f>MIN(X9:X23)</f>
        <v>0</v>
      </c>
      <c r="Y24" s="13">
        <f>MAX(Y9:Y23)</f>
        <v>0</v>
      </c>
      <c r="Z24" s="13">
        <f>MIN(Z9:Z23)</f>
        <v>0</v>
      </c>
      <c r="AA24" s="13">
        <f>MAX(AA9:AA23)</f>
        <v>0</v>
      </c>
      <c r="AB24" s="10"/>
      <c r="AC24" s="7">
        <f>SUM(AC9:AC23)</f>
        <v>0</v>
      </c>
      <c r="AD24" s="166">
        <f>SUM(AD9:AD23)</f>
        <v>0</v>
      </c>
      <c r="AE24" s="166">
        <f>SUM(AE9:AE23)</f>
        <v>0</v>
      </c>
      <c r="AF24" s="8">
        <f>SUM(AF9:AF23)</f>
        <v>0</v>
      </c>
      <c r="AG24" s="91"/>
      <c r="AH24" s="91"/>
      <c r="AI24" s="9"/>
      <c r="AJ24" s="9"/>
      <c r="AK24" s="9"/>
      <c r="AL24" s="10"/>
      <c r="AM24" s="9"/>
      <c r="AN24" s="9"/>
      <c r="AO24" s="9"/>
      <c r="AP24" s="9"/>
      <c r="AQ24" s="9"/>
      <c r="AR24" s="9"/>
      <c r="AS24" s="9"/>
      <c r="AT24" s="11"/>
      <c r="AU24" s="13">
        <f>MIN(AU9:AU23)</f>
        <v>45457</v>
      </c>
      <c r="AV24" s="13">
        <f>MAX(AV9:AV23)</f>
        <v>45491</v>
      </c>
      <c r="AW24" s="13">
        <f>MIN(AW9:AW23)</f>
        <v>0</v>
      </c>
      <c r="AX24" s="13">
        <f>MAX(AX9:AX23)</f>
        <v>0</v>
      </c>
      <c r="AY24" s="9"/>
      <c r="AZ24" s="7">
        <f>SUM(AZ9:AZ23)</f>
        <v>0</v>
      </c>
      <c r="BA24" s="166">
        <f>SUM(BA9:BA23)</f>
        <v>0</v>
      </c>
      <c r="BB24" s="166">
        <f>SUM(BB9:BB23)</f>
        <v>0</v>
      </c>
      <c r="BC24" s="8">
        <f>SUM(BC9:BC23)</f>
        <v>0</v>
      </c>
      <c r="BD24" s="91"/>
      <c r="BE24" s="91"/>
      <c r="BF24" s="9"/>
      <c r="BG24" s="9"/>
      <c r="BL24" s="9"/>
      <c r="BM24" s="9"/>
      <c r="BN24" s="9"/>
      <c r="BO24" s="12"/>
      <c r="BQ24" s="7">
        <f t="shared" ref="BQ24:CE24" si="31">SUM(BQ9:BQ23)</f>
        <v>0</v>
      </c>
      <c r="BR24" s="7">
        <f t="shared" si="31"/>
        <v>0</v>
      </c>
      <c r="BS24" s="7">
        <f t="shared" si="31"/>
        <v>0</v>
      </c>
      <c r="BT24" s="7">
        <f t="shared" si="31"/>
        <v>0</v>
      </c>
      <c r="BU24" s="101">
        <f t="shared" si="31"/>
        <v>0</v>
      </c>
      <c r="BV24" s="7">
        <f t="shared" si="31"/>
        <v>0</v>
      </c>
      <c r="BW24" s="7">
        <f t="shared" si="31"/>
        <v>0</v>
      </c>
      <c r="BX24" s="7">
        <f t="shared" si="31"/>
        <v>0</v>
      </c>
      <c r="BY24" s="7">
        <f t="shared" si="31"/>
        <v>0</v>
      </c>
      <c r="BZ24" s="101">
        <f t="shared" si="31"/>
        <v>0</v>
      </c>
      <c r="CA24" s="102">
        <f t="shared" si="31"/>
        <v>0</v>
      </c>
      <c r="CB24" s="102">
        <f t="shared" si="31"/>
        <v>0</v>
      </c>
      <c r="CC24" s="102">
        <f t="shared" si="31"/>
        <v>0</v>
      </c>
      <c r="CD24" s="102">
        <f t="shared" si="31"/>
        <v>0</v>
      </c>
      <c r="CE24" s="101">
        <f t="shared" si="31"/>
        <v>0</v>
      </c>
    </row>
    <row r="25" spans="1:84" ht="15" thickBot="1">
      <c r="AG25" s="113" t="s">
        <v>87</v>
      </c>
      <c r="BD25" s="113" t="s">
        <v>87</v>
      </c>
    </row>
    <row r="26" spans="1:84">
      <c r="AG26" s="127" t="s">
        <v>88</v>
      </c>
      <c r="AH26" s="128"/>
      <c r="AI26" s="129">
        <v>0</v>
      </c>
      <c r="BD26" s="127" t="s">
        <v>88</v>
      </c>
      <c r="BE26" s="128"/>
      <c r="BF26" s="129">
        <v>0</v>
      </c>
    </row>
    <row r="27" spans="1:84">
      <c r="AG27" s="130" t="s">
        <v>89</v>
      </c>
      <c r="AH27" s="125"/>
      <c r="AI27" s="131">
        <v>0.3</v>
      </c>
      <c r="BD27" s="130" t="s">
        <v>90</v>
      </c>
      <c r="BE27" s="125"/>
      <c r="BF27" s="131">
        <v>0.3</v>
      </c>
    </row>
    <row r="28" spans="1:84">
      <c r="AG28" s="130" t="s">
        <v>91</v>
      </c>
      <c r="AH28" s="125"/>
      <c r="AI28" s="131">
        <v>0.6</v>
      </c>
      <c r="BD28" s="130" t="s">
        <v>85</v>
      </c>
      <c r="BE28" s="125"/>
      <c r="BF28" s="131">
        <v>0.6</v>
      </c>
    </row>
    <row r="29" spans="1:84">
      <c r="AG29" s="130" t="s">
        <v>83</v>
      </c>
      <c r="AH29" s="125"/>
      <c r="AI29" s="131">
        <v>0.8</v>
      </c>
      <c r="BD29" s="130" t="s">
        <v>250</v>
      </c>
      <c r="BE29" s="125"/>
      <c r="BF29" s="131">
        <v>0.8</v>
      </c>
    </row>
    <row r="30" spans="1:84">
      <c r="AG30" s="130" t="s">
        <v>75</v>
      </c>
      <c r="AH30" s="125"/>
      <c r="AI30" s="131">
        <v>1</v>
      </c>
      <c r="BD30" s="130" t="s">
        <v>251</v>
      </c>
      <c r="BE30" s="125"/>
      <c r="BF30" s="131">
        <v>1</v>
      </c>
      <c r="BH30" s="2"/>
      <c r="BI30" s="2"/>
      <c r="BJ30" s="2"/>
      <c r="BK30" s="2"/>
      <c r="BL30" s="2"/>
      <c r="BM30" s="2"/>
    </row>
    <row r="31" spans="1:84">
      <c r="AG31" s="132"/>
      <c r="AH31" s="126"/>
      <c r="AI31" s="133"/>
      <c r="BD31" s="130"/>
      <c r="BE31" s="125"/>
      <c r="BF31" s="131"/>
      <c r="BH31" s="2"/>
      <c r="BI31" s="2"/>
      <c r="BJ31" s="2"/>
      <c r="BK31" s="2"/>
      <c r="BL31" s="2"/>
      <c r="BM31" s="2"/>
    </row>
    <row r="32" spans="1:84">
      <c r="AG32" s="132"/>
      <c r="AH32" s="126"/>
      <c r="AI32" s="133"/>
      <c r="BD32" s="130"/>
      <c r="BE32" s="125"/>
      <c r="BF32" s="131"/>
      <c r="BH32" s="2"/>
      <c r="BI32" s="2"/>
      <c r="BJ32" s="2"/>
      <c r="BK32" s="2"/>
      <c r="BL32" s="2"/>
      <c r="BM32" s="2"/>
    </row>
    <row r="33" spans="33:65">
      <c r="AG33" s="132"/>
      <c r="AH33" s="126"/>
      <c r="AI33" s="133"/>
      <c r="BD33" s="132"/>
      <c r="BE33" s="126"/>
      <c r="BF33" s="133"/>
      <c r="BH33" s="2"/>
      <c r="BI33" s="2"/>
      <c r="BJ33" s="2"/>
      <c r="BK33" s="2"/>
      <c r="BL33" s="2"/>
      <c r="BM33" s="2"/>
    </row>
    <row r="34" spans="33:65">
      <c r="AG34" s="132"/>
      <c r="AH34" s="126"/>
      <c r="AI34" s="133"/>
      <c r="BD34" s="132"/>
      <c r="BE34" s="126"/>
      <c r="BF34" s="133"/>
      <c r="BH34" s="2"/>
      <c r="BI34" s="2"/>
      <c r="BJ34" s="2"/>
      <c r="BK34" s="2"/>
      <c r="BL34" s="2"/>
      <c r="BM34" s="2"/>
    </row>
    <row r="35" spans="33:65" ht="15" thickBot="1">
      <c r="AG35" s="134"/>
      <c r="AH35" s="135"/>
      <c r="AI35" s="136"/>
      <c r="BD35" s="134"/>
      <c r="BE35" s="135"/>
      <c r="BF35" s="136"/>
      <c r="BH35" s="2"/>
      <c r="BI35" s="2"/>
      <c r="BJ35" s="2"/>
      <c r="BK35" s="2"/>
      <c r="BL35" s="2"/>
      <c r="BM35" s="2"/>
    </row>
    <row r="36" spans="33:65">
      <c r="BH36" s="2"/>
      <c r="BI36" s="2"/>
      <c r="BJ36" s="2"/>
      <c r="BK36" s="2"/>
      <c r="BL36" s="2"/>
      <c r="BM36" s="2"/>
    </row>
    <row r="37" spans="33:65">
      <c r="BH37" s="2"/>
      <c r="BI37" s="2"/>
      <c r="BJ37" s="2"/>
      <c r="BK37" s="2"/>
      <c r="BL37" s="2"/>
      <c r="BM37" s="2"/>
    </row>
    <row r="38" spans="33:65">
      <c r="BH38" s="2"/>
      <c r="BI38" s="2"/>
      <c r="BJ38" s="2"/>
      <c r="BK38" s="2"/>
      <c r="BL38" s="2"/>
      <c r="BM38" s="2"/>
    </row>
    <row r="39" spans="33:65">
      <c r="BH39" s="2"/>
      <c r="BI39" s="2"/>
      <c r="BJ39" s="2"/>
      <c r="BK39" s="2"/>
      <c r="BL39" s="2"/>
      <c r="BM39" s="2"/>
    </row>
    <row r="40" spans="33:65">
      <c r="BH40" s="2"/>
      <c r="BI40" s="2"/>
      <c r="BJ40" s="2"/>
      <c r="BK40" s="2"/>
      <c r="BL40" s="2"/>
      <c r="BM40" s="2"/>
    </row>
    <row r="41" spans="33:65">
      <c r="BH41" s="2"/>
      <c r="BI41" s="2"/>
      <c r="BJ41" s="2"/>
      <c r="BK41" s="2"/>
      <c r="BL41" s="2"/>
      <c r="BM41" s="2"/>
    </row>
    <row r="42" spans="33:65">
      <c r="BH42" s="2"/>
      <c r="BI42" s="2"/>
      <c r="BJ42" s="2"/>
      <c r="BK42" s="2"/>
      <c r="BL42" s="2"/>
      <c r="BM42" s="2"/>
    </row>
  </sheetData>
  <sheetProtection formatCells="0" formatColumns="0" formatRows="0" insertColumns="0" insertRows="0" insertHyperlinks="0" deleteColumns="0" deleteRows="0" sort="0" autoFilter="0" pivotTables="0"/>
  <autoFilter ref="A8:CF30" xr:uid="{00000000-0001-0000-0000-000000000000}">
    <filterColumn colId="32" showButton="0"/>
    <filterColumn colId="55" showButton="0"/>
  </autoFilter>
  <dataConsolidate/>
  <mergeCells count="53">
    <mergeCell ref="BQ2:BU2"/>
    <mergeCell ref="BQ7:BU7"/>
    <mergeCell ref="BV7:BZ7"/>
    <mergeCell ref="AB3:AC3"/>
    <mergeCell ref="O6:W6"/>
    <mergeCell ref="T7:T8"/>
    <mergeCell ref="BL7:BO7"/>
    <mergeCell ref="AY3:AZ3"/>
    <mergeCell ref="BG7:BG8"/>
    <mergeCell ref="X6:AT6"/>
    <mergeCell ref="AU6:BO6"/>
    <mergeCell ref="BD8:BE8"/>
    <mergeCell ref="BD7:BF7"/>
    <mergeCell ref="AQ7:AT7"/>
    <mergeCell ref="U7:U8"/>
    <mergeCell ref="AG7:AI7"/>
    <mergeCell ref="CA7:CE7"/>
    <mergeCell ref="J7:J8"/>
    <mergeCell ref="X7:Y7"/>
    <mergeCell ref="Z7:AA7"/>
    <mergeCell ref="AB7:AB8"/>
    <mergeCell ref="AU7:AV7"/>
    <mergeCell ref="AW7:AX7"/>
    <mergeCell ref="AZ7:AZ8"/>
    <mergeCell ref="BA7:BC7"/>
    <mergeCell ref="N7:N8"/>
    <mergeCell ref="V7:V8"/>
    <mergeCell ref="M7:M8"/>
    <mergeCell ref="AG8:AH8"/>
    <mergeCell ref="W7:W8"/>
    <mergeCell ref="Q7:R7"/>
    <mergeCell ref="S7:S8"/>
    <mergeCell ref="B2:D2"/>
    <mergeCell ref="B3:D3"/>
    <mergeCell ref="E2:F2"/>
    <mergeCell ref="E3:F3"/>
    <mergeCell ref="B6:D6"/>
    <mergeCell ref="AL7:AL8"/>
    <mergeCell ref="B24:F24"/>
    <mergeCell ref="D7:D8"/>
    <mergeCell ref="AY7:AY8"/>
    <mergeCell ref="AC7:AC8"/>
    <mergeCell ref="AD7:AF7"/>
    <mergeCell ref="E7:E8"/>
    <mergeCell ref="F7:F8"/>
    <mergeCell ref="H7:H8"/>
    <mergeCell ref="I7:I8"/>
    <mergeCell ref="G7:G8"/>
    <mergeCell ref="O7:P7"/>
    <mergeCell ref="K7:K8"/>
    <mergeCell ref="B7:B8"/>
    <mergeCell ref="C7:C8"/>
    <mergeCell ref="L7:L8"/>
  </mergeCells>
  <phoneticPr fontId="2"/>
  <conditionalFormatting sqref="B23:N23 J22 L22:N22 J19:J20 J14:K18 B19:B20 L14:N20 N21:N22 K20 C20 G20 B21:I22 B14:C18 G14:G18 D14:F20 H14:I20 AZ9:AZ22 B9:N13">
    <cfRule type="expression" dxfId="388" priority="3765">
      <formula>IF($J9="取消",TRUE,FALSE)</formula>
    </cfRule>
  </conditionalFormatting>
  <conditionalFormatting sqref="Z21:Z23 Z17:Z18 BI21:BJ22 Z9:AA10 AN14:AP22 BI14:BI22 BK14:BK22 AK14:AK22 Z11:Z14 AM9:AP13 AJ9:AK13 BI9:BK13">
    <cfRule type="expression" dxfId="387" priority="3764">
      <formula>IF($X9="",FALSE,IF($Z9="",IF($X9&lt;TODAY(),TRUE,FALSE),FALSE))</formula>
    </cfRule>
  </conditionalFormatting>
  <conditionalFormatting sqref="AA21:AA23 AA17:AA18 BI21:BJ22 AA9:AA10 AA14 BK14:BK22 BI14:BI22 AM9:AP23 AJ9:AK23 BI9:BK13">
    <cfRule type="expression" dxfId="386" priority="3763">
      <formula>IF($Y9="",FALSE,IF($AA9="",IF($Y9&lt;TODAY(),TRUE,FALSE),FALSE))</formula>
    </cfRule>
  </conditionalFormatting>
  <conditionalFormatting sqref="BH24 AN14 AP14 AX18 AW9:AW23 BH9:BK22">
    <cfRule type="expression" dxfId="385" priority="3762">
      <formula>IF($AU9="",FALSE,IF($AW9="",IF($AU9&lt;TODAY(),TRUE,FALSE),FALSE))</formula>
    </cfRule>
  </conditionalFormatting>
  <conditionalFormatting sqref="AW18:AX18 AX9:AX23">
    <cfRule type="expression" dxfId="384" priority="3761">
      <formula>IF($AV9="",FALSE,IF($AX9="",IF($AV9&lt;TODAY(),TRUE,FALSE),FALSE))</formula>
    </cfRule>
  </conditionalFormatting>
  <conditionalFormatting sqref="R14 Q9:Q23">
    <cfRule type="expression" dxfId="383" priority="3760">
      <formula>IF($O9="",FALSE,IF($Q9="",IF($O9&lt;TODAY(),TRUE,FALSE),FALSE))</formula>
    </cfRule>
  </conditionalFormatting>
  <conditionalFormatting sqref="R9:R23">
    <cfRule type="expression" dxfId="382" priority="3759">
      <formula>IF($P9="",FALSE,IF($R9="",IF($P9&lt;TODAY(),TRUE,FALSE),FALSE))</formula>
    </cfRule>
  </conditionalFormatting>
  <conditionalFormatting sqref="U9:U23">
    <cfRule type="expression" dxfId="381" priority="3758">
      <formula>IF($U9=1,TRUE,FALSE)</formula>
    </cfRule>
  </conditionalFormatting>
  <conditionalFormatting sqref="BH24 AN14 AP14 BH9:BK22 BF9:BF23 AI9:AI22">
    <cfRule type="expression" dxfId="380" priority="3756">
      <formula>IF($BF9=1,TRUE,FALSE)</formula>
    </cfRule>
  </conditionalFormatting>
  <conditionalFormatting sqref="AI23:AK23 BI21:BJ22 BK14:BK22 BI14:BI22 AM9:AP23 AJ9:AK22 BI9:BK13">
    <cfRule type="expression" dxfId="379" priority="3737">
      <formula>IF($AI9=1,TRUE,FALSE)</formula>
    </cfRule>
  </conditionalFormatting>
  <conditionalFormatting sqref="AQ9:AQ23">
    <cfRule type="expression" dxfId="378" priority="3733">
      <formula>IF($AS9="",FALSE,TRUE)</formula>
    </cfRule>
    <cfRule type="expression" dxfId="377" priority="3735">
      <formula>IF($AQ9="過少",TRUE,FALSE)</formula>
    </cfRule>
  </conditionalFormatting>
  <conditionalFormatting sqref="BL9:BL23">
    <cfRule type="expression" dxfId="376" priority="3731">
      <formula>IF($BN9="",FALSE,TRUE)</formula>
    </cfRule>
    <cfRule type="expression" dxfId="375" priority="3732">
      <formula>IF($BL9="超過",TRUE,FALSE)</formula>
    </cfRule>
    <cfRule type="expression" dxfId="374" priority="3734">
      <formula>IF($BL9="過少",TRUE,FALSE)</formula>
    </cfRule>
  </conditionalFormatting>
  <conditionalFormatting sqref="BH24 BL23:BO23 B23:BG23 J22 L22:N22 J19:J20 J14:K18 O21:W22 AB19:AC20 AB15:AC16 Z21:AC22 Z17:AC18 AM20:AX20 AM18:AT18 AF21:AT22 AW21:AX22 K20:W20 AM19:AU19 Z9:AC10 Z14:AC14 AM14:AT15 L14:W19 AF14:AO20 Z11:Z13 AB11:AC13 AF9:AT13 J9:W13 AZ9:BO22 AM16:AU17 AW9:AX19">
    <cfRule type="expression" dxfId="373" priority="3221">
      <formula>$BN9&lt;&gt;""</formula>
    </cfRule>
  </conditionalFormatting>
  <conditionalFormatting sqref="BH23:BK23">
    <cfRule type="expression" dxfId="372" priority="2666">
      <formula>$BN23&lt;&gt;""</formula>
    </cfRule>
  </conditionalFormatting>
  <conditionalFormatting sqref="AP22">
    <cfRule type="expression" dxfId="371" priority="2218">
      <formula>IF($X22="",FALSE,IF($Z22="",IF($X22&lt;TODAY(),TRUE,FALSE),FALSE))</formula>
    </cfRule>
  </conditionalFormatting>
  <conditionalFormatting sqref="R22">
    <cfRule type="expression" dxfId="370" priority="2214">
      <formula>IF($O22="",FALSE,IF($Q22="",IF($O22&lt;TODAY(),TRUE,FALSE),FALSE))</formula>
    </cfRule>
  </conditionalFormatting>
  <conditionalFormatting sqref="K22">
    <cfRule type="expression" dxfId="369" priority="2212">
      <formula>IF($J22="取消",TRUE,FALSE)</formula>
    </cfRule>
  </conditionalFormatting>
  <conditionalFormatting sqref="K22">
    <cfRule type="expression" dxfId="368" priority="2211">
      <formula>$BN22&lt;&gt;""</formula>
    </cfRule>
  </conditionalFormatting>
  <conditionalFormatting sqref="BH22">
    <cfRule type="expression" dxfId="367" priority="2122">
      <formula>IF($BF22=1,TRUE,FALSE)</formula>
    </cfRule>
  </conditionalFormatting>
  <conditionalFormatting sqref="BH22">
    <cfRule type="expression" dxfId="366" priority="2121">
      <formula>IF($AU22="",FALSE,IF($AW22="",IF($AU22&lt;TODAY(),TRUE,FALSE),FALSE))</formula>
    </cfRule>
  </conditionalFormatting>
  <conditionalFormatting sqref="BJ22">
    <cfRule type="expression" dxfId="365" priority="2092">
      <formula>IF($BF22=1,TRUE,FALSE)</formula>
    </cfRule>
  </conditionalFormatting>
  <conditionalFormatting sqref="BJ22">
    <cfRule type="expression" dxfId="364" priority="2091">
      <formula>IF($AU22="",FALSE,IF($AW22="",IF($AU22&lt;TODAY(),TRUE,FALSE),FALSE))</formula>
    </cfRule>
  </conditionalFormatting>
  <conditionalFormatting sqref="BH22">
    <cfRule type="expression" dxfId="363" priority="2045">
      <formula>IF($AU22="",FALSE,IF($AW22="",IF($AU22&lt;TODAY(),TRUE,FALSE),FALSE))</formula>
    </cfRule>
  </conditionalFormatting>
  <conditionalFormatting sqref="BH22">
    <cfRule type="expression" dxfId="362" priority="2044">
      <formula>IF($BF22=1,TRUE,FALSE)</formula>
    </cfRule>
  </conditionalFormatting>
  <conditionalFormatting sqref="BH22">
    <cfRule type="expression" dxfId="361" priority="2043">
      <formula>IF($AU22="",FALSE,IF($AW22="",IF($AU22&lt;TODAY(),TRUE,FALSE),FALSE))</formula>
    </cfRule>
  </conditionalFormatting>
  <conditionalFormatting sqref="BH22">
    <cfRule type="expression" dxfId="360" priority="2042">
      <formula>IF($BF22=1,TRUE,FALSE)</formula>
    </cfRule>
  </conditionalFormatting>
  <conditionalFormatting sqref="BH22">
    <cfRule type="expression" dxfId="359" priority="2041">
      <formula>IF($AU22="",FALSE,IF($AW22="",IF($AU22&lt;TODAY(),TRUE,FALSE),FALSE))</formula>
    </cfRule>
  </conditionalFormatting>
  <conditionalFormatting sqref="BH22">
    <cfRule type="expression" dxfId="358" priority="2040">
      <formula>IF($BF22=1,TRUE,FALSE)</formula>
    </cfRule>
  </conditionalFormatting>
  <conditionalFormatting sqref="BH22">
    <cfRule type="expression" dxfId="357" priority="2039">
      <formula>IF($AU22="",FALSE,IF($AW22="",IF($AU22&lt;TODAY(),TRUE,FALSE),FALSE))</formula>
    </cfRule>
  </conditionalFormatting>
  <conditionalFormatting sqref="BJ22">
    <cfRule type="expression" dxfId="356" priority="2028">
      <formula>IF($BF22=1,TRUE,FALSE)</formula>
    </cfRule>
  </conditionalFormatting>
  <conditionalFormatting sqref="BJ22">
    <cfRule type="expression" dxfId="355" priority="2027">
      <formula>IF($AU22="",FALSE,IF($AW22="",IF($AU22&lt;TODAY(),TRUE,FALSE),FALSE))</formula>
    </cfRule>
  </conditionalFormatting>
  <conditionalFormatting sqref="AV11 X21:Y22 B19:B20 C20 G20 X17:Y18 X19:AA20 X15:AA16 B21:I22 AU21:AV22 AY9 AU9:AV10 B14:C18 G14:G18 D14:F20 H14:I20 AA11:AA13 B9:I13 X9:Y14 AU18:AV18 AY13:AY18 AU12:AV14">
    <cfRule type="expression" dxfId="354" priority="2022">
      <formula>$BT9&lt;&gt;""</formula>
    </cfRule>
  </conditionalFormatting>
  <conditionalFormatting sqref="AY10">
    <cfRule type="expression" dxfId="353" priority="1942">
      <formula>$BT10&lt;&gt;""</formula>
    </cfRule>
  </conditionalFormatting>
  <conditionalFormatting sqref="AU11">
    <cfRule type="expression" dxfId="352" priority="1907">
      <formula>$BT11&lt;&gt;""</formula>
    </cfRule>
  </conditionalFormatting>
  <conditionalFormatting sqref="BJ9:BK9">
    <cfRule type="expression" dxfId="351" priority="1893">
      <formula>IF($AU9="",FALSE,IF($AW9="",IF($AU9&lt;TODAY(),TRUE,FALSE),FALSE))</formula>
    </cfRule>
  </conditionalFormatting>
  <conditionalFormatting sqref="BJ9:BK9">
    <cfRule type="expression" dxfId="350" priority="1892">
      <formula>IF($BF9=1,TRUE,FALSE)</formula>
    </cfRule>
  </conditionalFormatting>
  <conditionalFormatting sqref="BJ12:BJ13">
    <cfRule type="expression" dxfId="349" priority="1885">
      <formula>IF($AU12="",FALSE,IF($AW12="",IF($AU12&lt;TODAY(),TRUE,FALSE),FALSE))</formula>
    </cfRule>
  </conditionalFormatting>
  <conditionalFormatting sqref="BJ12:BJ13">
    <cfRule type="expression" dxfId="348" priority="1884">
      <formula>IF($BF12=1,TRUE,FALSE)</formula>
    </cfRule>
  </conditionalFormatting>
  <conditionalFormatting sqref="BH11">
    <cfRule type="expression" dxfId="347" priority="1883">
      <formula>IF($X11="",FALSE,IF($Z11="",IF($X11&lt;TODAY(),TRUE,FALSE),FALSE))</formula>
    </cfRule>
  </conditionalFormatting>
  <conditionalFormatting sqref="BH11">
    <cfRule type="expression" dxfId="346" priority="1882">
      <formula>IF($Y11="",FALSE,IF($AA11="",IF($Y11&lt;TODAY(),TRUE,FALSE),FALSE))</formula>
    </cfRule>
  </conditionalFormatting>
  <conditionalFormatting sqref="BH11">
    <cfRule type="expression" dxfId="345" priority="1881">
      <formula>IF($AU11="",FALSE,IF($AW11="",IF($AU11&lt;TODAY(),TRUE,FALSE),FALSE))</formula>
    </cfRule>
  </conditionalFormatting>
  <conditionalFormatting sqref="BH11">
    <cfRule type="expression" dxfId="344" priority="1880">
      <formula>IF($BF11=1,TRUE,FALSE)</formula>
    </cfRule>
  </conditionalFormatting>
  <conditionalFormatting sqref="BH11">
    <cfRule type="expression" dxfId="343" priority="1879">
      <formula>IF($AI11=1,TRUE,FALSE)</formula>
    </cfRule>
  </conditionalFormatting>
  <conditionalFormatting sqref="BJ11">
    <cfRule type="expression" dxfId="342" priority="1836">
      <formula>IF($AU11="",FALSE,IF($AW11="",IF($AU11&lt;TODAY(),TRUE,FALSE),FALSE))</formula>
    </cfRule>
  </conditionalFormatting>
  <conditionalFormatting sqref="BJ11">
    <cfRule type="expression" dxfId="341" priority="1835">
      <formula>IF($BF11=1,TRUE,FALSE)</formula>
    </cfRule>
  </conditionalFormatting>
  <conditionalFormatting sqref="BJ11">
    <cfRule type="expression" dxfId="340" priority="1834">
      <formula>IF($X11="",FALSE,IF($Z11="",IF($X11&lt;TODAY(),TRUE,FALSE),FALSE))</formula>
    </cfRule>
  </conditionalFormatting>
  <conditionalFormatting sqref="BJ11">
    <cfRule type="expression" dxfId="339" priority="1833">
      <formula>IF($Y11="",FALSE,IF($AA11="",IF($Y11&lt;TODAY(),TRUE,FALSE),FALSE))</formula>
    </cfRule>
  </conditionalFormatting>
  <conditionalFormatting sqref="BJ11">
    <cfRule type="expression" dxfId="338" priority="1832">
      <formula>IF($AU11="",FALSE,IF($AW11="",IF($AU11&lt;TODAY(),TRUE,FALSE),FALSE))</formula>
    </cfRule>
  </conditionalFormatting>
  <conditionalFormatting sqref="BJ11">
    <cfRule type="expression" dxfId="337" priority="1831">
      <formula>IF($BF11=1,TRUE,FALSE)</formula>
    </cfRule>
  </conditionalFormatting>
  <conditionalFormatting sqref="BJ11">
    <cfRule type="expression" dxfId="336" priority="1830">
      <formula>IF($AI11=1,TRUE,FALSE)</formula>
    </cfRule>
  </conditionalFormatting>
  <conditionalFormatting sqref="BJ12">
    <cfRule type="expression" dxfId="335" priority="1766">
      <formula>IF($AU12="",FALSE,IF($AW12="",IF($AU12&lt;TODAY(),TRUE,FALSE),FALSE))</formula>
    </cfRule>
  </conditionalFormatting>
  <conditionalFormatting sqref="BJ12">
    <cfRule type="expression" dxfId="334" priority="1765">
      <formula>IF($BF12=1,TRUE,FALSE)</formula>
    </cfRule>
  </conditionalFormatting>
  <conditionalFormatting sqref="BH22">
    <cfRule type="expression" dxfId="333" priority="1545">
      <formula>IF($AU22="",FALSE,IF($AW22="",IF($AU22&lt;TODAY(),TRUE,FALSE),FALSE))</formula>
    </cfRule>
  </conditionalFormatting>
  <conditionalFormatting sqref="BH22">
    <cfRule type="expression" dxfId="332" priority="1544">
      <formula>IF($BF22=1,TRUE,FALSE)</formula>
    </cfRule>
  </conditionalFormatting>
  <conditionalFormatting sqref="BH22">
    <cfRule type="expression" dxfId="331" priority="1543">
      <formula>IF($BF22=1,TRUE,FALSE)</formula>
    </cfRule>
  </conditionalFormatting>
  <conditionalFormatting sqref="BH22">
    <cfRule type="expression" dxfId="330" priority="1542">
      <formula>IF($AU22="",FALSE,IF($AW22="",IF($AU22&lt;TODAY(),TRUE,FALSE),FALSE))</formula>
    </cfRule>
  </conditionalFormatting>
  <conditionalFormatting sqref="BH22">
    <cfRule type="expression" dxfId="329" priority="1541">
      <formula>IF($AU22="",FALSE,IF($AW22="",IF($AU22&lt;TODAY(),TRUE,FALSE),FALSE))</formula>
    </cfRule>
  </conditionalFormatting>
  <conditionalFormatting sqref="BH22">
    <cfRule type="expression" dxfId="328" priority="1540">
      <formula>IF($BF22=1,TRUE,FALSE)</formula>
    </cfRule>
  </conditionalFormatting>
  <conditionalFormatting sqref="BH22">
    <cfRule type="expression" dxfId="327" priority="1539">
      <formula>IF($AU22="",FALSE,IF($AW22="",IF($AU22&lt;TODAY(),TRUE,FALSE),FALSE))</formula>
    </cfRule>
  </conditionalFormatting>
  <conditionalFormatting sqref="BH22">
    <cfRule type="expression" dxfId="326" priority="1538">
      <formula>IF($BF22=1,TRUE,FALSE)</formula>
    </cfRule>
  </conditionalFormatting>
  <conditionalFormatting sqref="BH22">
    <cfRule type="expression" dxfId="325" priority="1537">
      <formula>IF($AU22="",FALSE,IF($AW22="",IF($AU22&lt;TODAY(),TRUE,FALSE),FALSE))</formula>
    </cfRule>
  </conditionalFormatting>
  <conditionalFormatting sqref="BH22">
    <cfRule type="expression" dxfId="324" priority="1536">
      <formula>IF($AU22="",FALSE,IF($AW22="",IF($AU22&lt;TODAY(),TRUE,FALSE),FALSE))</formula>
    </cfRule>
  </conditionalFormatting>
  <conditionalFormatting sqref="BH22">
    <cfRule type="expression" dxfId="323" priority="1535">
      <formula>IF($BF22=1,TRUE,FALSE)</formula>
    </cfRule>
  </conditionalFormatting>
  <conditionalFormatting sqref="BH22">
    <cfRule type="expression" dxfId="322" priority="1534">
      <formula>IF($AU22="",FALSE,IF($AW22="",IF($AU22&lt;TODAY(),TRUE,FALSE),FALSE))</formula>
    </cfRule>
  </conditionalFormatting>
  <conditionalFormatting sqref="BH22">
    <cfRule type="expression" dxfId="321" priority="1533">
      <formula>IF($AU22="",FALSE,IF($AW22="",IF($AU22&lt;TODAY(),TRUE,FALSE),FALSE))</formula>
    </cfRule>
  </conditionalFormatting>
  <conditionalFormatting sqref="BH22">
    <cfRule type="expression" dxfId="320" priority="1532">
      <formula>IF($BF22=1,TRUE,FALSE)</formula>
    </cfRule>
  </conditionalFormatting>
  <conditionalFormatting sqref="BH22">
    <cfRule type="expression" dxfId="319" priority="1531">
      <formula>IF($AU22="",FALSE,IF($AW22="",IF($AU22&lt;TODAY(),TRUE,FALSE),FALSE))</formula>
    </cfRule>
  </conditionalFormatting>
  <conditionalFormatting sqref="BH22">
    <cfRule type="expression" dxfId="318" priority="1530">
      <formula>IF($BF22=1,TRUE,FALSE)</formula>
    </cfRule>
  </conditionalFormatting>
  <conditionalFormatting sqref="BH22">
    <cfRule type="expression" dxfId="317" priority="1529">
      <formula>IF($AU22="",FALSE,IF($AW22="",IF($AU22&lt;TODAY(),TRUE,FALSE),FALSE))</formula>
    </cfRule>
  </conditionalFormatting>
  <conditionalFormatting sqref="BH22">
    <cfRule type="expression" dxfId="316" priority="1528">
      <formula>IF($AU22="",FALSE,IF($AW22="",IF($AU22&lt;TODAY(),TRUE,FALSE),FALSE))</formula>
    </cfRule>
  </conditionalFormatting>
  <conditionalFormatting sqref="BH22">
    <cfRule type="expression" dxfId="315" priority="1527">
      <formula>IF($BF22=1,TRUE,FALSE)</formula>
    </cfRule>
  </conditionalFormatting>
  <conditionalFormatting sqref="BH22">
    <cfRule type="expression" dxfId="314" priority="1526">
      <formula>IF($AU22="",FALSE,IF($AW22="",IF($AU22&lt;TODAY(),TRUE,FALSE),FALSE))</formula>
    </cfRule>
  </conditionalFormatting>
  <conditionalFormatting sqref="BH22">
    <cfRule type="expression" dxfId="313" priority="1525">
      <formula>IF($BF22=1,TRUE,FALSE)</formula>
    </cfRule>
  </conditionalFormatting>
  <conditionalFormatting sqref="BJ22">
    <cfRule type="expression" dxfId="312" priority="1447">
      <formula>IF($AU22="",FALSE,IF($AW22="",IF($AU22&lt;TODAY(),TRUE,FALSE),FALSE))</formula>
    </cfRule>
  </conditionalFormatting>
  <conditionalFormatting sqref="BJ22">
    <cfRule type="expression" dxfId="311" priority="1446">
      <formula>IF($BF22=1,TRUE,FALSE)</formula>
    </cfRule>
  </conditionalFormatting>
  <conditionalFormatting sqref="BJ22">
    <cfRule type="expression" dxfId="310" priority="1445">
      <formula>IF($AU22="",FALSE,IF($AW22="",IF($AU22&lt;TODAY(),TRUE,FALSE),FALSE))</formula>
    </cfRule>
  </conditionalFormatting>
  <conditionalFormatting sqref="BJ22">
    <cfRule type="expression" dxfId="309" priority="1444">
      <formula>IF($BF22=1,TRUE,FALSE)</formula>
    </cfRule>
  </conditionalFormatting>
  <conditionalFormatting sqref="BJ22">
    <cfRule type="expression" dxfId="308" priority="1443">
      <formula>IF($AU22="",FALSE,IF($AW22="",IF($AU22&lt;TODAY(),TRUE,FALSE),FALSE))</formula>
    </cfRule>
  </conditionalFormatting>
  <conditionalFormatting sqref="BJ22">
    <cfRule type="expression" dxfId="307" priority="1442">
      <formula>IF($BF22=1,TRUE,FALSE)</formula>
    </cfRule>
  </conditionalFormatting>
  <conditionalFormatting sqref="BJ22">
    <cfRule type="expression" dxfId="306" priority="1441">
      <formula>IF($AU22="",FALSE,IF($AW22="",IF($AU22&lt;TODAY(),TRUE,FALSE),FALSE))</formula>
    </cfRule>
  </conditionalFormatting>
  <conditionalFormatting sqref="BJ22">
    <cfRule type="expression" dxfId="305" priority="1440">
      <formula>IF($AU22="",FALSE,IF($AW22="",IF($AU22&lt;TODAY(),TRUE,FALSE),FALSE))</formula>
    </cfRule>
  </conditionalFormatting>
  <conditionalFormatting sqref="BJ22">
    <cfRule type="expression" dxfId="304" priority="1439">
      <formula>IF($BF22=1,TRUE,FALSE)</formula>
    </cfRule>
  </conditionalFormatting>
  <conditionalFormatting sqref="BJ22">
    <cfRule type="expression" dxfId="303" priority="1438">
      <formula>IF($BF22=1,TRUE,FALSE)</formula>
    </cfRule>
  </conditionalFormatting>
  <conditionalFormatting sqref="BJ22">
    <cfRule type="expression" dxfId="302" priority="1437">
      <formula>IF($AU22="",FALSE,IF($AW22="",IF($AU22&lt;TODAY(),TRUE,FALSE),FALSE))</formula>
    </cfRule>
  </conditionalFormatting>
  <conditionalFormatting sqref="BJ22">
    <cfRule type="expression" dxfId="301" priority="1436">
      <formula>IF($AU22="",FALSE,IF($AW22="",IF($AU22&lt;TODAY(),TRUE,FALSE),FALSE))</formula>
    </cfRule>
  </conditionalFormatting>
  <conditionalFormatting sqref="BJ22">
    <cfRule type="expression" dxfId="300" priority="1435">
      <formula>IF($BF22=1,TRUE,FALSE)</formula>
    </cfRule>
  </conditionalFormatting>
  <conditionalFormatting sqref="BJ22">
    <cfRule type="expression" dxfId="299" priority="1434">
      <formula>IF($AU22="",FALSE,IF($AW22="",IF($AU22&lt;TODAY(),TRUE,FALSE),FALSE))</formula>
    </cfRule>
  </conditionalFormatting>
  <conditionalFormatting sqref="BJ22">
    <cfRule type="expression" dxfId="298" priority="1433">
      <formula>IF($BF22=1,TRUE,FALSE)</formula>
    </cfRule>
  </conditionalFormatting>
  <conditionalFormatting sqref="BJ22">
    <cfRule type="expression" dxfId="297" priority="1432">
      <formula>IF($AU22="",FALSE,IF($AW22="",IF($AU22&lt;TODAY(),TRUE,FALSE),FALSE))</formula>
    </cfRule>
  </conditionalFormatting>
  <conditionalFormatting sqref="BJ22">
    <cfRule type="expression" dxfId="296" priority="1431">
      <formula>IF($AU22="",FALSE,IF($AW22="",IF($AU22&lt;TODAY(),TRUE,FALSE),FALSE))</formula>
    </cfRule>
  </conditionalFormatting>
  <conditionalFormatting sqref="BJ22">
    <cfRule type="expression" dxfId="295" priority="1430">
      <formula>IF($BF22=1,TRUE,FALSE)</formula>
    </cfRule>
  </conditionalFormatting>
  <conditionalFormatting sqref="BJ22">
    <cfRule type="expression" dxfId="294" priority="1429">
      <formula>IF($AU22="",FALSE,IF($AW22="",IF($AU22&lt;TODAY(),TRUE,FALSE),FALSE))</formula>
    </cfRule>
  </conditionalFormatting>
  <conditionalFormatting sqref="BJ22">
    <cfRule type="expression" dxfId="293" priority="1428">
      <formula>IF($AU22="",FALSE,IF($AW22="",IF($AU22&lt;TODAY(),TRUE,FALSE),FALSE))</formula>
    </cfRule>
  </conditionalFormatting>
  <conditionalFormatting sqref="BJ22">
    <cfRule type="expression" dxfId="292" priority="1427">
      <formula>IF($BF22=1,TRUE,FALSE)</formula>
    </cfRule>
  </conditionalFormatting>
  <conditionalFormatting sqref="BJ22">
    <cfRule type="expression" dxfId="291" priority="1426">
      <formula>IF($AU22="",FALSE,IF($AW22="",IF($AU22&lt;TODAY(),TRUE,FALSE),FALSE))</formula>
    </cfRule>
  </conditionalFormatting>
  <conditionalFormatting sqref="BJ22">
    <cfRule type="expression" dxfId="290" priority="1425">
      <formula>IF($BF22=1,TRUE,FALSE)</formula>
    </cfRule>
  </conditionalFormatting>
  <conditionalFormatting sqref="BJ22">
    <cfRule type="expression" dxfId="289" priority="1424">
      <formula>IF($AU22="",FALSE,IF($AW22="",IF($AU22&lt;TODAY(),TRUE,FALSE),FALSE))</formula>
    </cfRule>
  </conditionalFormatting>
  <conditionalFormatting sqref="BJ22">
    <cfRule type="expression" dxfId="288" priority="1423">
      <formula>IF($AU22="",FALSE,IF($AW22="",IF($AU22&lt;TODAY(),TRUE,FALSE),FALSE))</formula>
    </cfRule>
  </conditionalFormatting>
  <conditionalFormatting sqref="BJ22">
    <cfRule type="expression" dxfId="287" priority="1422">
      <formula>IF($BF22=1,TRUE,FALSE)</formula>
    </cfRule>
  </conditionalFormatting>
  <conditionalFormatting sqref="BJ22">
    <cfRule type="expression" dxfId="286" priority="1421">
      <formula>IF($AU22="",FALSE,IF($AW22="",IF($AU22&lt;TODAY(),TRUE,FALSE),FALSE))</formula>
    </cfRule>
  </conditionalFormatting>
  <conditionalFormatting sqref="BJ22">
    <cfRule type="expression" dxfId="285" priority="1420">
      <formula>IF($BF22=1,TRUE,FALSE)</formula>
    </cfRule>
  </conditionalFormatting>
  <conditionalFormatting sqref="BJ12:BJ13">
    <cfRule type="expression" dxfId="284" priority="1373">
      <formula>IF($AU12="",FALSE,IF($AW12="",IF($AU12&lt;TODAY(),TRUE,FALSE),FALSE))</formula>
    </cfRule>
  </conditionalFormatting>
  <conditionalFormatting sqref="BJ12:BJ13">
    <cfRule type="expression" dxfId="283" priority="1372">
      <formula>IF($BF12=1,TRUE,FALSE)</formula>
    </cfRule>
  </conditionalFormatting>
  <conditionalFormatting sqref="BI9:BI10">
    <cfRule type="expression" dxfId="282" priority="1240">
      <formula>IF($AU9="",FALSE,IF($AW9="",IF($AU9&lt;TODAY(),TRUE,FALSE),FALSE))</formula>
    </cfRule>
  </conditionalFormatting>
  <conditionalFormatting sqref="BI9:BI10">
    <cfRule type="expression" dxfId="281" priority="1239">
      <formula>IF($BF9=1,TRUE,FALSE)</formula>
    </cfRule>
  </conditionalFormatting>
  <conditionalFormatting sqref="BK9">
    <cfRule type="expression" dxfId="280" priority="1238">
      <formula>IF($AU9="",FALSE,IF($AW9="",IF($AU9&lt;TODAY(),TRUE,FALSE),FALSE))</formula>
    </cfRule>
  </conditionalFormatting>
  <conditionalFormatting sqref="BK9">
    <cfRule type="expression" dxfId="279" priority="1237">
      <formula>IF($BF9=1,TRUE,FALSE)</formula>
    </cfRule>
  </conditionalFormatting>
  <conditionalFormatting sqref="BK13">
    <cfRule type="expression" dxfId="278" priority="1162">
      <formula>IF($AU13="",FALSE,IF($AW13="",IF($AU13&lt;TODAY(),TRUE,FALSE),FALSE))</formula>
    </cfRule>
  </conditionalFormatting>
  <conditionalFormatting sqref="BK13">
    <cfRule type="expression" dxfId="277" priority="1161">
      <formula>IF($BF13=1,TRUE,FALSE)</formula>
    </cfRule>
  </conditionalFormatting>
  <conditionalFormatting sqref="BK13">
    <cfRule type="expression" dxfId="276" priority="1160">
      <formula>IF($AU13="",FALSE,IF($AW13="",IF($AU13&lt;TODAY(),TRUE,FALSE),FALSE))</formula>
    </cfRule>
  </conditionalFormatting>
  <conditionalFormatting sqref="BK13">
    <cfRule type="expression" dxfId="275" priority="1159">
      <formula>IF($BF13=1,TRUE,FALSE)</formula>
    </cfRule>
  </conditionalFormatting>
  <conditionalFormatting sqref="BK13">
    <cfRule type="expression" dxfId="274" priority="1158">
      <formula>IF($X13="",FALSE,IF($Z13="",IF($X13&lt;TODAY(),TRUE,FALSE),FALSE))</formula>
    </cfRule>
  </conditionalFormatting>
  <conditionalFormatting sqref="BK13">
    <cfRule type="expression" dxfId="273" priority="1157">
      <formula>IF($Y13="",FALSE,IF($AA13="",IF($Y13&lt;TODAY(),TRUE,FALSE),FALSE))</formula>
    </cfRule>
  </conditionalFormatting>
  <conditionalFormatting sqref="BK13">
    <cfRule type="expression" dxfId="272" priority="1156">
      <formula>IF($AU13="",FALSE,IF($AW13="",IF($AU13&lt;TODAY(),TRUE,FALSE),FALSE))</formula>
    </cfRule>
  </conditionalFormatting>
  <conditionalFormatting sqref="BK13">
    <cfRule type="expression" dxfId="271" priority="1155">
      <formula>IF($BF13=1,TRUE,FALSE)</formula>
    </cfRule>
  </conditionalFormatting>
  <conditionalFormatting sqref="BK13">
    <cfRule type="expression" dxfId="270" priority="1154">
      <formula>IF($AI13=1,TRUE,FALSE)</formula>
    </cfRule>
  </conditionalFormatting>
  <conditionalFormatting sqref="AN22">
    <cfRule type="expression" dxfId="269" priority="978">
      <formula>IF($BF22=1,TRUE,FALSE)</formula>
    </cfRule>
  </conditionalFormatting>
  <conditionalFormatting sqref="AN22">
    <cfRule type="expression" dxfId="268" priority="977">
      <formula>IF($AU22="",FALSE,IF($AW22="",IF($AU22&lt;TODAY(),TRUE,FALSE),FALSE))</formula>
    </cfRule>
  </conditionalFormatting>
  <conditionalFormatting sqref="AN22">
    <cfRule type="expression" dxfId="267" priority="976">
      <formula>IF($AU22="",FALSE,IF($AW22="",IF($AU22&lt;TODAY(),TRUE,FALSE),FALSE))</formula>
    </cfRule>
  </conditionalFormatting>
  <conditionalFormatting sqref="AN22">
    <cfRule type="expression" dxfId="266" priority="975">
      <formula>IF($X22="",FALSE,IF($Z22="",IF($X22&lt;TODAY(),TRUE,FALSE),FALSE))</formula>
    </cfRule>
  </conditionalFormatting>
  <conditionalFormatting sqref="AN22">
    <cfRule type="expression" dxfId="265" priority="974">
      <formula>IF($BF22=1,TRUE,FALSE)</formula>
    </cfRule>
  </conditionalFormatting>
  <conditionalFormatting sqref="AN22">
    <cfRule type="expression" dxfId="264" priority="973">
      <formula>IF($AU22="",FALSE,IF($AW22="",IF($AU22&lt;TODAY(),TRUE,FALSE),FALSE))</formula>
    </cfRule>
  </conditionalFormatting>
  <conditionalFormatting sqref="AP22">
    <cfRule type="expression" dxfId="263" priority="972">
      <formula>IF($BF22=1,TRUE,FALSE)</formula>
    </cfRule>
  </conditionalFormatting>
  <conditionalFormatting sqref="AP22">
    <cfRule type="expression" dxfId="262" priority="971">
      <formula>IF($AU22="",FALSE,IF($AW22="",IF($AU22&lt;TODAY(),TRUE,FALSE),FALSE))</formula>
    </cfRule>
  </conditionalFormatting>
  <conditionalFormatting sqref="AP22">
    <cfRule type="expression" dxfId="261" priority="970">
      <formula>IF($AU22="",FALSE,IF($AW22="",IF($AU22&lt;TODAY(),TRUE,FALSE),FALSE))</formula>
    </cfRule>
  </conditionalFormatting>
  <conditionalFormatting sqref="AP22">
    <cfRule type="expression" dxfId="260" priority="969">
      <formula>IF($X22="",FALSE,IF($Z22="",IF($X22&lt;TODAY(),TRUE,FALSE),FALSE))</formula>
    </cfRule>
  </conditionalFormatting>
  <conditionalFormatting sqref="AP22">
    <cfRule type="expression" dxfId="259" priority="968">
      <formula>IF($BF22=1,TRUE,FALSE)</formula>
    </cfRule>
  </conditionalFormatting>
  <conditionalFormatting sqref="AP22">
    <cfRule type="expression" dxfId="258" priority="967">
      <formula>IF($AU22="",FALSE,IF($AW22="",IF($AU22&lt;TODAY(),TRUE,FALSE),FALSE))</formula>
    </cfRule>
  </conditionalFormatting>
  <conditionalFormatting sqref="BK12">
    <cfRule type="expression" dxfId="257" priority="931">
      <formula>IF($AU12="",FALSE,IF($AW12="",IF($AU12&lt;TODAY(),TRUE,FALSE),FALSE))</formula>
    </cfRule>
  </conditionalFormatting>
  <conditionalFormatting sqref="BK12">
    <cfRule type="expression" dxfId="256" priority="930">
      <formula>IF($BF12=1,TRUE,FALSE)</formula>
    </cfRule>
  </conditionalFormatting>
  <conditionalFormatting sqref="BK12">
    <cfRule type="expression" dxfId="255" priority="929">
      <formula>IF($AU12="",FALSE,IF($AW12="",IF($AU12&lt;TODAY(),TRUE,FALSE),FALSE))</formula>
    </cfRule>
  </conditionalFormatting>
  <conditionalFormatting sqref="BK12">
    <cfRule type="expression" dxfId="254" priority="928">
      <formula>IF($BF12=1,TRUE,FALSE)</formula>
    </cfRule>
  </conditionalFormatting>
  <conditionalFormatting sqref="BK12">
    <cfRule type="expression" dxfId="253" priority="927">
      <formula>IF($AU12="",FALSE,IF($AW12="",IF($AU12&lt;TODAY(),TRUE,FALSE),FALSE))</formula>
    </cfRule>
  </conditionalFormatting>
  <conditionalFormatting sqref="BK12">
    <cfRule type="expression" dxfId="252" priority="926">
      <formula>IF($Y12="",FALSE,IF($AA12="",IF($Y12&lt;TODAY(),TRUE,FALSE),FALSE))</formula>
    </cfRule>
  </conditionalFormatting>
  <conditionalFormatting sqref="BK12">
    <cfRule type="expression" dxfId="251" priority="925">
      <formula>IF($AU12="",FALSE,IF($AW12="",IF($AU12&lt;TODAY(),TRUE,FALSE),FALSE))</formula>
    </cfRule>
  </conditionalFormatting>
  <conditionalFormatting sqref="BK12">
    <cfRule type="expression" dxfId="250" priority="924">
      <formula>IF($AI12=1,TRUE,FALSE)</formula>
    </cfRule>
  </conditionalFormatting>
  <conditionalFormatting sqref="BK12">
    <cfRule type="expression" dxfId="249" priority="923">
      <formula>IF($X12="",FALSE,IF($Z12="",IF($X12&lt;TODAY(),TRUE,FALSE),FALSE))</formula>
    </cfRule>
  </conditionalFormatting>
  <conditionalFormatting sqref="BK12">
    <cfRule type="expression" dxfId="248" priority="922">
      <formula>IF($AU12="",FALSE,IF($AW12="",IF($AU12&lt;TODAY(),TRUE,FALSE),FALSE))</formula>
    </cfRule>
  </conditionalFormatting>
  <conditionalFormatting sqref="BK12">
    <cfRule type="expression" dxfId="247" priority="921">
      <formula>IF($BF12=1,TRUE,FALSE)</formula>
    </cfRule>
  </conditionalFormatting>
  <conditionalFormatting sqref="BI12">
    <cfRule type="expression" dxfId="246" priority="886">
      <formula>IF($X12="",FALSE,IF($Z12="",IF($X12&lt;TODAY(),TRUE,FALSE),FALSE))</formula>
    </cfRule>
  </conditionalFormatting>
  <conditionalFormatting sqref="BI12">
    <cfRule type="expression" dxfId="245" priority="885">
      <formula>IF($AU12="",FALSE,IF($AW12="",IF($AU12&lt;TODAY(),TRUE,FALSE),FALSE))</formula>
    </cfRule>
  </conditionalFormatting>
  <conditionalFormatting sqref="BI12">
    <cfRule type="expression" dxfId="244" priority="884">
      <formula>IF($AU12="",FALSE,IF($AW12="",IF($AU12&lt;TODAY(),TRUE,FALSE),FALSE))</formula>
    </cfRule>
  </conditionalFormatting>
  <conditionalFormatting sqref="BI12">
    <cfRule type="expression" dxfId="243" priority="883">
      <formula>IF($BF12=1,TRUE,FALSE)</formula>
    </cfRule>
  </conditionalFormatting>
  <conditionalFormatting sqref="BI12">
    <cfRule type="expression" dxfId="242" priority="882">
      <formula>IF($AU12="",FALSE,IF($AW12="",IF($AU12&lt;TODAY(),TRUE,FALSE),FALSE))</formula>
    </cfRule>
  </conditionalFormatting>
  <conditionalFormatting sqref="BI12">
    <cfRule type="expression" dxfId="241" priority="881">
      <formula>IF($BF12=1,TRUE,FALSE)</formula>
    </cfRule>
  </conditionalFormatting>
  <conditionalFormatting sqref="BI12">
    <cfRule type="expression" dxfId="240" priority="880">
      <formula>IF($AU12="",FALSE,IF($AW12="",IF($AU12&lt;TODAY(),TRUE,FALSE),FALSE))</formula>
    </cfRule>
  </conditionalFormatting>
  <conditionalFormatting sqref="BI12">
    <cfRule type="expression" dxfId="239" priority="879">
      <formula>IF($Y12="",FALSE,IF($AA12="",IF($Y12&lt;TODAY(),TRUE,FALSE),FALSE))</formula>
    </cfRule>
  </conditionalFormatting>
  <conditionalFormatting sqref="BI12">
    <cfRule type="expression" dxfId="238" priority="878">
      <formula>IF($AU12="",FALSE,IF($AW12="",IF($AU12&lt;TODAY(),TRUE,FALSE),FALSE))</formula>
    </cfRule>
  </conditionalFormatting>
  <conditionalFormatting sqref="BI12">
    <cfRule type="expression" dxfId="237" priority="877">
      <formula>IF($AI12=1,TRUE,FALSE)</formula>
    </cfRule>
  </conditionalFormatting>
  <conditionalFormatting sqref="BI12">
    <cfRule type="expression" dxfId="236" priority="876">
      <formula>IF($X12="",FALSE,IF($Z12="",IF($X12&lt;TODAY(),TRUE,FALSE),FALSE))</formula>
    </cfRule>
  </conditionalFormatting>
  <conditionalFormatting sqref="BI12">
    <cfRule type="expression" dxfId="235" priority="875">
      <formula>IF($AU12="",FALSE,IF($AW12="",IF($AU12&lt;TODAY(),TRUE,FALSE),FALSE))</formula>
    </cfRule>
  </conditionalFormatting>
  <conditionalFormatting sqref="BI12">
    <cfRule type="expression" dxfId="234" priority="874">
      <formula>IF($BF12=1,TRUE,FALSE)</formula>
    </cfRule>
  </conditionalFormatting>
  <conditionalFormatting sqref="N19">
    <cfRule type="expression" dxfId="233" priority="734">
      <formula>IF($J19="取消",TRUE,FALSE)</formula>
    </cfRule>
  </conditionalFormatting>
  <conditionalFormatting sqref="N19">
    <cfRule type="expression" dxfId="232" priority="733">
      <formula>IF($J19="取消",TRUE,FALSE)</formula>
    </cfRule>
  </conditionalFormatting>
  <conditionalFormatting sqref="N19">
    <cfRule type="expression" dxfId="231" priority="732">
      <formula>IF($J19="取消",TRUE,FALSE)</formula>
    </cfRule>
  </conditionalFormatting>
  <conditionalFormatting sqref="N19">
    <cfRule type="expression" dxfId="230" priority="731">
      <formula>IF($J19="取消",TRUE,FALSE)</formula>
    </cfRule>
  </conditionalFormatting>
  <conditionalFormatting sqref="N19">
    <cfRule type="expression" dxfId="229" priority="730">
      <formula>IF($J19="取消",TRUE,FALSE)</formula>
    </cfRule>
  </conditionalFormatting>
  <conditionalFormatting sqref="N19">
    <cfRule type="expression" dxfId="228" priority="729">
      <formula>IF($J19="取消",TRUE,FALSE)</formula>
    </cfRule>
  </conditionalFormatting>
  <conditionalFormatting sqref="J21:M21">
    <cfRule type="expression" dxfId="227" priority="727">
      <formula>IF($J21="取消",TRUE,FALSE)</formula>
    </cfRule>
  </conditionalFormatting>
  <conditionalFormatting sqref="J21:M21">
    <cfRule type="expression" dxfId="226" priority="726">
      <formula>$BN21&lt;&gt;""</formula>
    </cfRule>
  </conditionalFormatting>
  <conditionalFormatting sqref="K19">
    <cfRule type="expression" dxfId="225" priority="717">
      <formula>IF($J19="取消",TRUE,FALSE)</formula>
    </cfRule>
  </conditionalFormatting>
  <conditionalFormatting sqref="K19">
    <cfRule type="expression" dxfId="224" priority="716">
      <formula>$BN19&lt;&gt;""</formula>
    </cfRule>
  </conditionalFormatting>
  <conditionalFormatting sqref="C19 G19">
    <cfRule type="expression" dxfId="223" priority="713">
      <formula>IF($J19="取消",TRUE,FALSE)</formula>
    </cfRule>
  </conditionalFormatting>
  <conditionalFormatting sqref="C19 G19">
    <cfRule type="expression" dxfId="222" priority="712">
      <formula>$BT19&lt;&gt;""</formula>
    </cfRule>
  </conditionalFormatting>
  <conditionalFormatting sqref="N20">
    <cfRule type="expression" dxfId="221" priority="711">
      <formula>IF($J20="取消",TRUE,FALSE)</formula>
    </cfRule>
  </conditionalFormatting>
  <conditionalFormatting sqref="N20">
    <cfRule type="expression" dxfId="220" priority="710">
      <formula>IF($J20="取消",TRUE,FALSE)</formula>
    </cfRule>
  </conditionalFormatting>
  <conditionalFormatting sqref="N20">
    <cfRule type="expression" dxfId="219" priority="709">
      <formula>IF($J20="取消",TRUE,FALSE)</formula>
    </cfRule>
  </conditionalFormatting>
  <conditionalFormatting sqref="N20">
    <cfRule type="expression" dxfId="218" priority="708">
      <formula>IF($J20="取消",TRUE,FALSE)</formula>
    </cfRule>
  </conditionalFormatting>
  <conditionalFormatting sqref="N20">
    <cfRule type="expression" dxfId="217" priority="707">
      <formula>IF($J20="取消",TRUE,FALSE)</formula>
    </cfRule>
  </conditionalFormatting>
  <conditionalFormatting sqref="N20">
    <cfRule type="expression" dxfId="216" priority="706">
      <formula>IF($J20="取消",TRUE,FALSE)</formula>
    </cfRule>
  </conditionalFormatting>
  <conditionalFormatting sqref="BH19">
    <cfRule type="expression" dxfId="215" priority="683">
      <formula>IF($AU19="",FALSE,IF($AW19="",IF($AU19&lt;TODAY(),TRUE,FALSE),FALSE))</formula>
    </cfRule>
  </conditionalFormatting>
  <conditionalFormatting sqref="BH19">
    <cfRule type="expression" dxfId="214" priority="682">
      <formula>IF($BF19=1,TRUE,FALSE)</formula>
    </cfRule>
  </conditionalFormatting>
  <conditionalFormatting sqref="BJ19">
    <cfRule type="expression" dxfId="213" priority="681">
      <formula>IF($Y19="",FALSE,IF($AA19="",IF($Y19&lt;TODAY(),TRUE,FALSE),FALSE))</formula>
    </cfRule>
  </conditionalFormatting>
  <conditionalFormatting sqref="BJ19">
    <cfRule type="expression" dxfId="212" priority="680">
      <formula>IF($AI19=1,TRUE,FALSE)</formula>
    </cfRule>
  </conditionalFormatting>
  <conditionalFormatting sqref="BJ19">
    <cfRule type="expression" dxfId="211" priority="679">
      <formula>IF($X19="",FALSE,IF($Z19="",IF($X19&lt;TODAY(),TRUE,FALSE),FALSE))</formula>
    </cfRule>
  </conditionalFormatting>
  <conditionalFormatting sqref="BJ19">
    <cfRule type="expression" dxfId="210" priority="678">
      <formula>IF($AU19="",FALSE,IF($AW19="",IF($AU19&lt;TODAY(),TRUE,FALSE),FALSE))</formula>
    </cfRule>
  </conditionalFormatting>
  <conditionalFormatting sqref="BJ19">
    <cfRule type="expression" dxfId="209" priority="677">
      <formula>IF($BF19=1,TRUE,FALSE)</formula>
    </cfRule>
  </conditionalFormatting>
  <conditionalFormatting sqref="BJ19">
    <cfRule type="expression" dxfId="208" priority="676">
      <formula>IF($AU19="",FALSE,IF($AW19="",IF($AU19&lt;TODAY(),TRUE,FALSE),FALSE))</formula>
    </cfRule>
  </conditionalFormatting>
  <conditionalFormatting sqref="BJ19">
    <cfRule type="expression" dxfId="207" priority="675">
      <formula>IF($BF19=1,TRUE,FALSE)</formula>
    </cfRule>
  </conditionalFormatting>
  <conditionalFormatting sqref="BJ20">
    <cfRule type="expression" dxfId="206" priority="658">
      <formula>IF($AU20="",FALSE,IF($AW20="",IF($AU20&lt;TODAY(),TRUE,FALSE),FALSE))</formula>
    </cfRule>
  </conditionalFormatting>
  <conditionalFormatting sqref="BJ20">
    <cfRule type="expression" dxfId="205" priority="657">
      <formula>IF($BF20=1,TRUE,FALSE)</formula>
    </cfRule>
  </conditionalFormatting>
  <conditionalFormatting sqref="BJ20">
    <cfRule type="expression" dxfId="204" priority="656">
      <formula>IF($AU20="",FALSE,IF($AW20="",IF($AU20&lt;TODAY(),TRUE,FALSE),FALSE))</formula>
    </cfRule>
  </conditionalFormatting>
  <conditionalFormatting sqref="BJ20">
    <cfRule type="expression" dxfId="203" priority="655">
      <formula>IF($AU20="",FALSE,IF($AW20="",IF($AU20&lt;TODAY(),TRUE,FALSE),FALSE))</formula>
    </cfRule>
  </conditionalFormatting>
  <conditionalFormatting sqref="BJ20">
    <cfRule type="expression" dxfId="202" priority="654">
      <formula>IF($BF20=1,TRUE,FALSE)</formula>
    </cfRule>
  </conditionalFormatting>
  <conditionalFormatting sqref="BJ20">
    <cfRule type="expression" dxfId="201" priority="653">
      <formula>IF($AU20="",FALSE,IF($AW20="",IF($AU20&lt;TODAY(),TRUE,FALSE),FALSE))</formula>
    </cfRule>
  </conditionalFormatting>
  <conditionalFormatting sqref="BJ20">
    <cfRule type="expression" dxfId="200" priority="652">
      <formula>IF($AU20="",FALSE,IF($AW20="",IF($AU20&lt;TODAY(),TRUE,FALSE),FALSE))</formula>
    </cfRule>
  </conditionalFormatting>
  <conditionalFormatting sqref="BJ20">
    <cfRule type="expression" dxfId="199" priority="651">
      <formula>IF($BF20=1,TRUE,FALSE)</formula>
    </cfRule>
  </conditionalFormatting>
  <conditionalFormatting sqref="BJ20">
    <cfRule type="expression" dxfId="198" priority="650">
      <formula>IF($AU20="",FALSE,IF($AW20="",IF($AU20&lt;TODAY(),TRUE,FALSE),FALSE))</formula>
    </cfRule>
  </conditionalFormatting>
  <conditionalFormatting sqref="BJ20">
    <cfRule type="expression" dxfId="197" priority="649">
      <formula>IF($BF20=1,TRUE,FALSE)</formula>
    </cfRule>
  </conditionalFormatting>
  <conditionalFormatting sqref="BJ20">
    <cfRule type="expression" dxfId="196" priority="648">
      <formula>IF($AU20="",FALSE,IF($AW20="",IF($AU20&lt;TODAY(),TRUE,FALSE),FALSE))</formula>
    </cfRule>
  </conditionalFormatting>
  <conditionalFormatting sqref="BJ20">
    <cfRule type="expression" dxfId="195" priority="647">
      <formula>IF($AU20="",FALSE,IF($AW20="",IF($AU20&lt;TODAY(),TRUE,FALSE),FALSE))</formula>
    </cfRule>
  </conditionalFormatting>
  <conditionalFormatting sqref="BJ20">
    <cfRule type="expression" dxfId="194" priority="646">
      <formula>IF($BF20=1,TRUE,FALSE)</formula>
    </cfRule>
  </conditionalFormatting>
  <conditionalFormatting sqref="BJ20">
    <cfRule type="expression" dxfId="193" priority="645">
      <formula>IF($AU20="",FALSE,IF($AW20="",IF($AU20&lt;TODAY(),TRUE,FALSE),FALSE))</formula>
    </cfRule>
  </conditionalFormatting>
  <conditionalFormatting sqref="BJ20">
    <cfRule type="expression" dxfId="192" priority="644">
      <formula>IF($BF20=1,TRUE,FALSE)</formula>
    </cfRule>
  </conditionalFormatting>
  <conditionalFormatting sqref="BH21">
    <cfRule type="expression" dxfId="191" priority="577">
      <formula>IF($AU21="",FALSE,IF($AW21="",IF($AU21&lt;TODAY(),TRUE,FALSE),FALSE))</formula>
    </cfRule>
  </conditionalFormatting>
  <conditionalFormatting sqref="BH21">
    <cfRule type="expression" dxfId="190" priority="576">
      <formula>IF($BF21=1,TRUE,FALSE)</formula>
    </cfRule>
  </conditionalFormatting>
  <conditionalFormatting sqref="BH21">
    <cfRule type="expression" dxfId="189" priority="575">
      <formula>IF($BF21=1,TRUE,FALSE)</formula>
    </cfRule>
  </conditionalFormatting>
  <conditionalFormatting sqref="BH21">
    <cfRule type="expression" dxfId="188" priority="574">
      <formula>IF($AU21="",FALSE,IF($AW21="",IF($AU21&lt;TODAY(),TRUE,FALSE),FALSE))</formula>
    </cfRule>
  </conditionalFormatting>
  <conditionalFormatting sqref="BH21">
    <cfRule type="expression" dxfId="187" priority="573">
      <formula>IF($AU21="",FALSE,IF($AW21="",IF($AU21&lt;TODAY(),TRUE,FALSE),FALSE))</formula>
    </cfRule>
  </conditionalFormatting>
  <conditionalFormatting sqref="BH21">
    <cfRule type="expression" dxfId="186" priority="572">
      <formula>IF($BF21=1,TRUE,FALSE)</formula>
    </cfRule>
  </conditionalFormatting>
  <conditionalFormatting sqref="BH21">
    <cfRule type="expression" dxfId="185" priority="571">
      <formula>IF($AU21="",FALSE,IF($AW21="",IF($AU21&lt;TODAY(),TRUE,FALSE),FALSE))</formula>
    </cfRule>
  </conditionalFormatting>
  <conditionalFormatting sqref="BH21">
    <cfRule type="expression" dxfId="184" priority="570">
      <formula>IF($BF21=1,TRUE,FALSE)</formula>
    </cfRule>
  </conditionalFormatting>
  <conditionalFormatting sqref="BH21">
    <cfRule type="expression" dxfId="183" priority="569">
      <formula>IF($AU21="",FALSE,IF($AW21="",IF($AU21&lt;TODAY(),TRUE,FALSE),FALSE))</formula>
    </cfRule>
  </conditionalFormatting>
  <conditionalFormatting sqref="BH21">
    <cfRule type="expression" dxfId="182" priority="568">
      <formula>IF($AU21="",FALSE,IF($AW21="",IF($AU21&lt;TODAY(),TRUE,FALSE),FALSE))</formula>
    </cfRule>
  </conditionalFormatting>
  <conditionalFormatting sqref="BH21">
    <cfRule type="expression" dxfId="181" priority="567">
      <formula>IF($BF21=1,TRUE,FALSE)</formula>
    </cfRule>
  </conditionalFormatting>
  <conditionalFormatting sqref="BH21">
    <cfRule type="expression" dxfId="180" priority="566">
      <formula>IF($AU21="",FALSE,IF($AW21="",IF($AU21&lt;TODAY(),TRUE,FALSE),FALSE))</formula>
    </cfRule>
  </conditionalFormatting>
  <conditionalFormatting sqref="BH21">
    <cfRule type="expression" dxfId="179" priority="565">
      <formula>IF($AU21="",FALSE,IF($AW21="",IF($AU21&lt;TODAY(),TRUE,FALSE),FALSE))</formula>
    </cfRule>
  </conditionalFormatting>
  <conditionalFormatting sqref="BH21">
    <cfRule type="expression" dxfId="178" priority="564">
      <formula>IF($BF21=1,TRUE,FALSE)</formula>
    </cfRule>
  </conditionalFormatting>
  <conditionalFormatting sqref="BH21">
    <cfRule type="expression" dxfId="177" priority="563">
      <formula>IF($AU21="",FALSE,IF($AW21="",IF($AU21&lt;TODAY(),TRUE,FALSE),FALSE))</formula>
    </cfRule>
  </conditionalFormatting>
  <conditionalFormatting sqref="BH21">
    <cfRule type="expression" dxfId="176" priority="562">
      <formula>IF($BF21=1,TRUE,FALSE)</formula>
    </cfRule>
  </conditionalFormatting>
  <conditionalFormatting sqref="BH21">
    <cfRule type="expression" dxfId="175" priority="561">
      <formula>IF($AU21="",FALSE,IF($AW21="",IF($AU21&lt;TODAY(),TRUE,FALSE),FALSE))</formula>
    </cfRule>
  </conditionalFormatting>
  <conditionalFormatting sqref="BH21">
    <cfRule type="expression" dxfId="174" priority="560">
      <formula>IF($AU21="",FALSE,IF($AW21="",IF($AU21&lt;TODAY(),TRUE,FALSE),FALSE))</formula>
    </cfRule>
  </conditionalFormatting>
  <conditionalFormatting sqref="BH21">
    <cfRule type="expression" dxfId="173" priority="559">
      <formula>IF($BF21=1,TRUE,FALSE)</formula>
    </cfRule>
  </conditionalFormatting>
  <conditionalFormatting sqref="BH21">
    <cfRule type="expression" dxfId="172" priority="558">
      <formula>IF($AU21="",FALSE,IF($AW21="",IF($AU21&lt;TODAY(),TRUE,FALSE),FALSE))</formula>
    </cfRule>
  </conditionalFormatting>
  <conditionalFormatting sqref="BH21">
    <cfRule type="expression" dxfId="171" priority="557">
      <formula>IF($BF21=1,TRUE,FALSE)</formula>
    </cfRule>
  </conditionalFormatting>
  <conditionalFormatting sqref="BJ21">
    <cfRule type="expression" dxfId="170" priority="528">
      <formula>IF($AU21="",FALSE,IF($AW21="",IF($AU21&lt;TODAY(),TRUE,FALSE),FALSE))</formula>
    </cfRule>
  </conditionalFormatting>
  <conditionalFormatting sqref="BJ21">
    <cfRule type="expression" dxfId="169" priority="527">
      <formula>IF($BF21=1,TRUE,FALSE)</formula>
    </cfRule>
  </conditionalFormatting>
  <conditionalFormatting sqref="BJ21">
    <cfRule type="expression" dxfId="168" priority="526">
      <formula>IF($AU21="",FALSE,IF($AW21="",IF($AU21&lt;TODAY(),TRUE,FALSE),FALSE))</formula>
    </cfRule>
  </conditionalFormatting>
  <conditionalFormatting sqref="BJ21">
    <cfRule type="expression" dxfId="167" priority="525">
      <formula>IF($BF21=1,TRUE,FALSE)</formula>
    </cfRule>
  </conditionalFormatting>
  <conditionalFormatting sqref="BJ21">
    <cfRule type="expression" dxfId="166" priority="524">
      <formula>IF($AU21="",FALSE,IF($AW21="",IF($AU21&lt;TODAY(),TRUE,FALSE),FALSE))</formula>
    </cfRule>
  </conditionalFormatting>
  <conditionalFormatting sqref="BJ21">
    <cfRule type="expression" dxfId="165" priority="523">
      <formula>IF($BF21=1,TRUE,FALSE)</formula>
    </cfRule>
  </conditionalFormatting>
  <conditionalFormatting sqref="BJ21">
    <cfRule type="expression" dxfId="164" priority="522">
      <formula>IF($AU21="",FALSE,IF($AW21="",IF($AU21&lt;TODAY(),TRUE,FALSE),FALSE))</formula>
    </cfRule>
  </conditionalFormatting>
  <conditionalFormatting sqref="BJ21">
    <cfRule type="expression" dxfId="163" priority="521">
      <formula>IF($AU21="",FALSE,IF($AW21="",IF($AU21&lt;TODAY(),TRUE,FALSE),FALSE))</formula>
    </cfRule>
  </conditionalFormatting>
  <conditionalFormatting sqref="BJ21">
    <cfRule type="expression" dxfId="162" priority="520">
      <formula>IF($BF21=1,TRUE,FALSE)</formula>
    </cfRule>
  </conditionalFormatting>
  <conditionalFormatting sqref="BJ21">
    <cfRule type="expression" dxfId="161" priority="519">
      <formula>IF($BF21=1,TRUE,FALSE)</formula>
    </cfRule>
  </conditionalFormatting>
  <conditionalFormatting sqref="BJ21">
    <cfRule type="expression" dxfId="160" priority="518">
      <formula>IF($AU21="",FALSE,IF($AW21="",IF($AU21&lt;TODAY(),TRUE,FALSE),FALSE))</formula>
    </cfRule>
  </conditionalFormatting>
  <conditionalFormatting sqref="BJ21">
    <cfRule type="expression" dxfId="159" priority="517">
      <formula>IF($AU21="",FALSE,IF($AW21="",IF($AU21&lt;TODAY(),TRUE,FALSE),FALSE))</formula>
    </cfRule>
  </conditionalFormatting>
  <conditionalFormatting sqref="BJ21">
    <cfRule type="expression" dxfId="158" priority="516">
      <formula>IF($BF21=1,TRUE,FALSE)</formula>
    </cfRule>
  </conditionalFormatting>
  <conditionalFormatting sqref="BJ21">
    <cfRule type="expression" dxfId="157" priority="515">
      <formula>IF($AU21="",FALSE,IF($AW21="",IF($AU21&lt;TODAY(),TRUE,FALSE),FALSE))</formula>
    </cfRule>
  </conditionalFormatting>
  <conditionalFormatting sqref="BJ21">
    <cfRule type="expression" dxfId="156" priority="514">
      <formula>IF($BF21=1,TRUE,FALSE)</formula>
    </cfRule>
  </conditionalFormatting>
  <conditionalFormatting sqref="BJ21">
    <cfRule type="expression" dxfId="155" priority="513">
      <formula>IF($AU21="",FALSE,IF($AW21="",IF($AU21&lt;TODAY(),TRUE,FALSE),FALSE))</formula>
    </cfRule>
  </conditionalFormatting>
  <conditionalFormatting sqref="BJ21">
    <cfRule type="expression" dxfId="154" priority="512">
      <formula>IF($AU21="",FALSE,IF($AW21="",IF($AU21&lt;TODAY(),TRUE,FALSE),FALSE))</formula>
    </cfRule>
  </conditionalFormatting>
  <conditionalFormatting sqref="BJ21">
    <cfRule type="expression" dxfId="153" priority="511">
      <formula>IF($BF21=1,TRUE,FALSE)</formula>
    </cfRule>
  </conditionalFormatting>
  <conditionalFormatting sqref="BJ21">
    <cfRule type="expression" dxfId="152" priority="510">
      <formula>IF($AU21="",FALSE,IF($AW21="",IF($AU21&lt;TODAY(),TRUE,FALSE),FALSE))</formula>
    </cfRule>
  </conditionalFormatting>
  <conditionalFormatting sqref="BJ21">
    <cfRule type="expression" dxfId="151" priority="509">
      <formula>IF($AU21="",FALSE,IF($AW21="",IF($AU21&lt;TODAY(),TRUE,FALSE),FALSE))</formula>
    </cfRule>
  </conditionalFormatting>
  <conditionalFormatting sqref="BJ21">
    <cfRule type="expression" dxfId="150" priority="508">
      <formula>IF($BF21=1,TRUE,FALSE)</formula>
    </cfRule>
  </conditionalFormatting>
  <conditionalFormatting sqref="BJ21">
    <cfRule type="expression" dxfId="149" priority="507">
      <formula>IF($AU21="",FALSE,IF($AW21="",IF($AU21&lt;TODAY(),TRUE,FALSE),FALSE))</formula>
    </cfRule>
  </conditionalFormatting>
  <conditionalFormatting sqref="BJ21">
    <cfRule type="expression" dxfId="148" priority="506">
      <formula>IF($BF21=1,TRUE,FALSE)</formula>
    </cfRule>
  </conditionalFormatting>
  <conditionalFormatting sqref="BJ21">
    <cfRule type="expression" dxfId="147" priority="505">
      <formula>IF($AU21="",FALSE,IF($AW21="",IF($AU21&lt;TODAY(),TRUE,FALSE),FALSE))</formula>
    </cfRule>
  </conditionalFormatting>
  <conditionalFormatting sqref="BJ21">
    <cfRule type="expression" dxfId="146" priority="504">
      <formula>IF($AU21="",FALSE,IF($AW21="",IF($AU21&lt;TODAY(),TRUE,FALSE),FALSE))</formula>
    </cfRule>
  </conditionalFormatting>
  <conditionalFormatting sqref="BJ21">
    <cfRule type="expression" dxfId="145" priority="503">
      <formula>IF($BF21=1,TRUE,FALSE)</formula>
    </cfRule>
  </conditionalFormatting>
  <conditionalFormatting sqref="BJ21">
    <cfRule type="expression" dxfId="144" priority="502">
      <formula>IF($AU21="",FALSE,IF($AW21="",IF($AU21&lt;TODAY(),TRUE,FALSE),FALSE))</formula>
    </cfRule>
  </conditionalFormatting>
  <conditionalFormatting sqref="BJ21">
    <cfRule type="expression" dxfId="143" priority="501">
      <formula>IF($BF21=1,TRUE,FALSE)</formula>
    </cfRule>
  </conditionalFormatting>
  <conditionalFormatting sqref="N20">
    <cfRule type="expression" dxfId="142" priority="500">
      <formula>IF($J20="取消",TRUE,FALSE)</formula>
    </cfRule>
  </conditionalFormatting>
  <conditionalFormatting sqref="N20">
    <cfRule type="expression" dxfId="141" priority="499">
      <formula>IF($J20="取消",TRUE,FALSE)</formula>
    </cfRule>
  </conditionalFormatting>
  <conditionalFormatting sqref="N20">
    <cfRule type="expression" dxfId="140" priority="498">
      <formula>IF($J20="取消",TRUE,FALSE)</formula>
    </cfRule>
  </conditionalFormatting>
  <conditionalFormatting sqref="N19">
    <cfRule type="expression" dxfId="139" priority="494">
      <formula>IF($J19="取消",TRUE,FALSE)</formula>
    </cfRule>
  </conditionalFormatting>
  <conditionalFormatting sqref="N19">
    <cfRule type="expression" dxfId="138" priority="493">
      <formula>IF($J19="取消",TRUE,FALSE)</formula>
    </cfRule>
  </conditionalFormatting>
  <conditionalFormatting sqref="N19">
    <cfRule type="expression" dxfId="137" priority="492">
      <formula>IF($J19="取消",TRUE,FALSE)</formula>
    </cfRule>
  </conditionalFormatting>
  <conditionalFormatting sqref="AW20">
    <cfRule type="expression" dxfId="136" priority="407">
      <formula>IF($AU20="",FALSE,IF($AW20="",IF($AU20&lt;TODAY(),TRUE,FALSE),FALSE))</formula>
    </cfRule>
  </conditionalFormatting>
  <conditionalFormatting sqref="AW20">
    <cfRule type="expression" dxfId="135" priority="406">
      <formula>IF($AV20="",FALSE,IF($AX20="",IF($AV20&lt;TODAY(),TRUE,FALSE),FALSE))</formula>
    </cfRule>
  </conditionalFormatting>
  <conditionalFormatting sqref="AW20">
    <cfRule type="expression" dxfId="134" priority="405">
      <formula>IF($AU20="",FALSE,IF($AW20="",IF($AU20&lt;TODAY(),TRUE,FALSE),FALSE))</formula>
    </cfRule>
  </conditionalFormatting>
  <conditionalFormatting sqref="BF20">
    <cfRule type="expression" dxfId="133" priority="404">
      <formula>IF($BF20=1,TRUE,FALSE)</formula>
    </cfRule>
  </conditionalFormatting>
  <conditionalFormatting sqref="BI19">
    <cfRule type="expression" dxfId="132" priority="378">
      <formula>IF($AU19="",FALSE,IF($AW19="",IF($AU19&lt;TODAY(),TRUE,FALSE),FALSE))</formula>
    </cfRule>
  </conditionalFormatting>
  <conditionalFormatting sqref="BI19">
    <cfRule type="expression" dxfId="131" priority="377">
      <formula>IF($BF19=1,TRUE,FALSE)</formula>
    </cfRule>
  </conditionalFormatting>
  <conditionalFormatting sqref="BK19">
    <cfRule type="expression" dxfId="130" priority="376">
      <formula>IF($Y19="",FALSE,IF($AA19="",IF($Y19&lt;TODAY(),TRUE,FALSE),FALSE))</formula>
    </cfRule>
  </conditionalFormatting>
  <conditionalFormatting sqref="BK19">
    <cfRule type="expression" dxfId="129" priority="375">
      <formula>IF($AI19=1,TRUE,FALSE)</formula>
    </cfRule>
  </conditionalFormatting>
  <conditionalFormatting sqref="BK19">
    <cfRule type="expression" dxfId="128" priority="374">
      <formula>IF($X19="",FALSE,IF($Z19="",IF($X19&lt;TODAY(),TRUE,FALSE),FALSE))</formula>
    </cfRule>
  </conditionalFormatting>
  <conditionalFormatting sqref="BK19">
    <cfRule type="expression" dxfId="127" priority="373">
      <formula>IF($AU19="",FALSE,IF($AW19="",IF($AU19&lt;TODAY(),TRUE,FALSE),FALSE))</formula>
    </cfRule>
  </conditionalFormatting>
  <conditionalFormatting sqref="BK19">
    <cfRule type="expression" dxfId="126" priority="372">
      <formula>IF($BF19=1,TRUE,FALSE)</formula>
    </cfRule>
  </conditionalFormatting>
  <conditionalFormatting sqref="BK19">
    <cfRule type="expression" dxfId="125" priority="371">
      <formula>IF($AU19="",FALSE,IF($AW19="",IF($AU19&lt;TODAY(),TRUE,FALSE),FALSE))</formula>
    </cfRule>
  </conditionalFormatting>
  <conditionalFormatting sqref="BK19">
    <cfRule type="expression" dxfId="124" priority="370">
      <formula>IF($BF19=1,TRUE,FALSE)</formula>
    </cfRule>
  </conditionalFormatting>
  <conditionalFormatting sqref="BI20">
    <cfRule type="expression" dxfId="123" priority="300">
      <formula>IF($BF20=1,TRUE,FALSE)</formula>
    </cfRule>
  </conditionalFormatting>
  <conditionalFormatting sqref="BI20">
    <cfRule type="expression" dxfId="122" priority="299">
      <formula>IF($AU20="",FALSE,IF($AW20="",IF($AU20&lt;TODAY(),TRUE,FALSE),FALSE))</formula>
    </cfRule>
  </conditionalFormatting>
  <conditionalFormatting sqref="BI20">
    <cfRule type="expression" dxfId="121" priority="298">
      <formula>IF($BF20=1,TRUE,FALSE)</formula>
    </cfRule>
  </conditionalFormatting>
  <conditionalFormatting sqref="BI20">
    <cfRule type="expression" dxfId="120" priority="297">
      <formula>IF($AU20="",FALSE,IF($AW20="",IF($AU20&lt;TODAY(),TRUE,FALSE),FALSE))</formula>
    </cfRule>
  </conditionalFormatting>
  <conditionalFormatting sqref="BI20">
    <cfRule type="expression" dxfId="119" priority="296">
      <formula>IF($AU20="",FALSE,IF($AW20="",IF($AU20&lt;TODAY(),TRUE,FALSE),FALSE))</formula>
    </cfRule>
  </conditionalFormatting>
  <conditionalFormatting sqref="BI20">
    <cfRule type="expression" dxfId="118" priority="295">
      <formula>IF($BF20=1,TRUE,FALSE)</formula>
    </cfRule>
  </conditionalFormatting>
  <conditionalFormatting sqref="BI20">
    <cfRule type="expression" dxfId="117" priority="294">
      <formula>IF($AU20="",FALSE,IF($AW20="",IF($AU20&lt;TODAY(),TRUE,FALSE),FALSE))</formula>
    </cfRule>
  </conditionalFormatting>
  <conditionalFormatting sqref="BI20">
    <cfRule type="expression" dxfId="116" priority="293">
      <formula>IF($BF20=1,TRUE,FALSE)</formula>
    </cfRule>
  </conditionalFormatting>
  <conditionalFormatting sqref="N21">
    <cfRule type="expression" dxfId="115" priority="262">
      <formula>IF($J21="取消",TRUE,FALSE)</formula>
    </cfRule>
  </conditionalFormatting>
  <conditionalFormatting sqref="N21">
    <cfRule type="expression" dxfId="114" priority="261">
      <formula>$BN21&lt;&gt;""</formula>
    </cfRule>
  </conditionalFormatting>
  <conditionalFormatting sqref="N12">
    <cfRule type="expression" dxfId="113" priority="260">
      <formula>IF($J12="取消",TRUE,FALSE)</formula>
    </cfRule>
  </conditionalFormatting>
  <conditionalFormatting sqref="N12">
    <cfRule type="expression" dxfId="112" priority="259">
      <formula>IF($J12="取消",TRUE,FALSE)</formula>
    </cfRule>
  </conditionalFormatting>
  <conditionalFormatting sqref="N12">
    <cfRule type="expression" dxfId="111" priority="258">
      <formula>IF($J12="取消",TRUE,FALSE)</formula>
    </cfRule>
  </conditionalFormatting>
  <conditionalFormatting sqref="N12">
    <cfRule type="expression" dxfId="110" priority="257">
      <formula>IF($J12="取消",TRUE,FALSE)</formula>
    </cfRule>
  </conditionalFormatting>
  <conditionalFormatting sqref="N12">
    <cfRule type="expression" dxfId="109" priority="256">
      <formula>IF($J12="取消",TRUE,FALSE)</formula>
    </cfRule>
  </conditionalFormatting>
  <conditionalFormatting sqref="N12">
    <cfRule type="expression" dxfId="108" priority="255">
      <formula>IF($J12="取消",TRUE,FALSE)</formula>
    </cfRule>
  </conditionalFormatting>
  <conditionalFormatting sqref="N13">
    <cfRule type="expression" dxfId="107" priority="254">
      <formula>IF($J13="取消",TRUE,FALSE)</formula>
    </cfRule>
  </conditionalFormatting>
  <conditionalFormatting sqref="N13">
    <cfRule type="expression" dxfId="106" priority="253">
      <formula>IF($J13="取消",TRUE,FALSE)</formula>
    </cfRule>
  </conditionalFormatting>
  <conditionalFormatting sqref="N13">
    <cfRule type="expression" dxfId="105" priority="252">
      <formula>IF($J13="取消",TRUE,FALSE)</formula>
    </cfRule>
  </conditionalFormatting>
  <conditionalFormatting sqref="N13">
    <cfRule type="expression" dxfId="104" priority="251">
      <formula>IF($J13="取消",TRUE,FALSE)</formula>
    </cfRule>
  </conditionalFormatting>
  <conditionalFormatting sqref="N13">
    <cfRule type="expression" dxfId="103" priority="250">
      <formula>IF($J13="取消",TRUE,FALSE)</formula>
    </cfRule>
  </conditionalFormatting>
  <conditionalFormatting sqref="N13">
    <cfRule type="expression" dxfId="102" priority="249">
      <formula>IF($J13="取消",TRUE,FALSE)</formula>
    </cfRule>
  </conditionalFormatting>
  <conditionalFormatting sqref="N9">
    <cfRule type="expression" dxfId="101" priority="248">
      <formula>IF($J9="取消",TRUE,FALSE)</formula>
    </cfRule>
  </conditionalFormatting>
  <conditionalFormatting sqref="N9">
    <cfRule type="expression" dxfId="100" priority="247">
      <formula>IF($J9="取消",TRUE,FALSE)</formula>
    </cfRule>
  </conditionalFormatting>
  <conditionalFormatting sqref="N9">
    <cfRule type="expression" dxfId="99" priority="246">
      <formula>IF($J9="取消",TRUE,FALSE)</formula>
    </cfRule>
  </conditionalFormatting>
  <conditionalFormatting sqref="N9">
    <cfRule type="expression" dxfId="98" priority="245">
      <formula>IF($J9="取消",TRUE,FALSE)</formula>
    </cfRule>
  </conditionalFormatting>
  <conditionalFormatting sqref="N9">
    <cfRule type="expression" dxfId="97" priority="244">
      <formula>IF($J9="取消",TRUE,FALSE)</formula>
    </cfRule>
  </conditionalFormatting>
  <conditionalFormatting sqref="N9">
    <cfRule type="expression" dxfId="96" priority="243">
      <formula>IF($J9="取消",TRUE,FALSE)</formula>
    </cfRule>
  </conditionalFormatting>
  <conditionalFormatting sqref="N10">
    <cfRule type="expression" dxfId="95" priority="242">
      <formula>IF($J10="取消",TRUE,FALSE)</formula>
    </cfRule>
  </conditionalFormatting>
  <conditionalFormatting sqref="N10">
    <cfRule type="expression" dxfId="94" priority="241">
      <formula>IF($J10="取消",TRUE,FALSE)</formula>
    </cfRule>
  </conditionalFormatting>
  <conditionalFormatting sqref="N10">
    <cfRule type="expression" dxfId="93" priority="240">
      <formula>IF($J10="取消",TRUE,FALSE)</formula>
    </cfRule>
  </conditionalFormatting>
  <conditionalFormatting sqref="N10">
    <cfRule type="expression" dxfId="92" priority="239">
      <formula>IF($J10="取消",TRUE,FALSE)</formula>
    </cfRule>
  </conditionalFormatting>
  <conditionalFormatting sqref="N10">
    <cfRule type="expression" dxfId="91" priority="238">
      <formula>IF($J10="取消",TRUE,FALSE)</formula>
    </cfRule>
  </conditionalFormatting>
  <conditionalFormatting sqref="N10">
    <cfRule type="expression" dxfId="90" priority="237">
      <formula>IF($J10="取消",TRUE,FALSE)</formula>
    </cfRule>
  </conditionalFormatting>
  <conditionalFormatting sqref="N11">
    <cfRule type="expression" dxfId="89" priority="236">
      <formula>IF($J11="取消",TRUE,FALSE)</formula>
    </cfRule>
  </conditionalFormatting>
  <conditionalFormatting sqref="N11">
    <cfRule type="expression" dxfId="88" priority="235">
      <formula>IF($J11="取消",TRUE,FALSE)</formula>
    </cfRule>
  </conditionalFormatting>
  <conditionalFormatting sqref="N11">
    <cfRule type="expression" dxfId="87" priority="234">
      <formula>IF($J11="取消",TRUE,FALSE)</formula>
    </cfRule>
  </conditionalFormatting>
  <conditionalFormatting sqref="N11">
    <cfRule type="expression" dxfId="86" priority="233">
      <formula>IF($J11="取消",TRUE,FALSE)</formula>
    </cfRule>
  </conditionalFormatting>
  <conditionalFormatting sqref="N11">
    <cfRule type="expression" dxfId="85" priority="232">
      <formula>IF($J11="取消",TRUE,FALSE)</formula>
    </cfRule>
  </conditionalFormatting>
  <conditionalFormatting sqref="N11">
    <cfRule type="expression" dxfId="84" priority="231">
      <formula>IF($J11="取消",TRUE,FALSE)</formula>
    </cfRule>
  </conditionalFormatting>
  <conditionalFormatting sqref="AU15">
    <cfRule type="expression" dxfId="83" priority="230">
      <formula>$BT15&lt;&gt;""</formula>
    </cfRule>
  </conditionalFormatting>
  <conditionalFormatting sqref="AV19">
    <cfRule type="expression" dxfId="82" priority="229">
      <formula>$BT19&lt;&gt;""</formula>
    </cfRule>
  </conditionalFormatting>
  <conditionalFormatting sqref="BJ21">
    <cfRule type="expression" dxfId="81" priority="222">
      <formula>IF($AU21="",FALSE,IF($AW21="",IF($AU21&lt;TODAY(),TRUE,FALSE),FALSE))</formula>
    </cfRule>
  </conditionalFormatting>
  <conditionalFormatting sqref="BJ21">
    <cfRule type="expression" dxfId="80" priority="221">
      <formula>IF($BF21=1,TRUE,FALSE)</formula>
    </cfRule>
  </conditionalFormatting>
  <conditionalFormatting sqref="BJ21">
    <cfRule type="expression" dxfId="79" priority="220">
      <formula>IF($AU21="",FALSE,IF($AW21="",IF($AU21&lt;TODAY(),TRUE,FALSE),FALSE))</formula>
    </cfRule>
  </conditionalFormatting>
  <conditionalFormatting sqref="BJ21">
    <cfRule type="expression" dxfId="78" priority="219">
      <formula>IF($AU21="",FALSE,IF($AW21="",IF($AU21&lt;TODAY(),TRUE,FALSE),FALSE))</formula>
    </cfRule>
  </conditionalFormatting>
  <conditionalFormatting sqref="BJ21">
    <cfRule type="expression" dxfId="77" priority="218">
      <formula>IF($BF21=1,TRUE,FALSE)</formula>
    </cfRule>
  </conditionalFormatting>
  <conditionalFormatting sqref="BJ21">
    <cfRule type="expression" dxfId="76" priority="217">
      <formula>IF($AU21="",FALSE,IF($AW21="",IF($AU21&lt;TODAY(),TRUE,FALSE),FALSE))</formula>
    </cfRule>
  </conditionalFormatting>
  <conditionalFormatting sqref="BJ21">
    <cfRule type="expression" dxfId="75" priority="216">
      <formula>IF($AU21="",FALSE,IF($AW21="",IF($AU21&lt;TODAY(),TRUE,FALSE),FALSE))</formula>
    </cfRule>
  </conditionalFormatting>
  <conditionalFormatting sqref="BJ21">
    <cfRule type="expression" dxfId="74" priority="215">
      <formula>IF($BF21=1,TRUE,FALSE)</formula>
    </cfRule>
  </conditionalFormatting>
  <conditionalFormatting sqref="BJ21">
    <cfRule type="expression" dxfId="73" priority="214">
      <formula>IF($AU21="",FALSE,IF($AW21="",IF($AU21&lt;TODAY(),TRUE,FALSE),FALSE))</formula>
    </cfRule>
  </conditionalFormatting>
  <conditionalFormatting sqref="BJ21">
    <cfRule type="expression" dxfId="72" priority="213">
      <formula>IF($BF21=1,TRUE,FALSE)</formula>
    </cfRule>
  </conditionalFormatting>
  <conditionalFormatting sqref="BJ21">
    <cfRule type="expression" dxfId="71" priority="212">
      <formula>IF($AU21="",FALSE,IF($AW21="",IF($AU21&lt;TODAY(),TRUE,FALSE),FALSE))</formula>
    </cfRule>
  </conditionalFormatting>
  <conditionalFormatting sqref="BJ21">
    <cfRule type="expression" dxfId="70" priority="211">
      <formula>IF($AU21="",FALSE,IF($AW21="",IF($AU21&lt;TODAY(),TRUE,FALSE),FALSE))</formula>
    </cfRule>
  </conditionalFormatting>
  <conditionalFormatting sqref="BJ21">
    <cfRule type="expression" dxfId="69" priority="210">
      <formula>IF($BF21=1,TRUE,FALSE)</formula>
    </cfRule>
  </conditionalFormatting>
  <conditionalFormatting sqref="BJ21">
    <cfRule type="expression" dxfId="68" priority="209">
      <formula>IF($AU21="",FALSE,IF($AW21="",IF($AU21&lt;TODAY(),TRUE,FALSE),FALSE))</formula>
    </cfRule>
  </conditionalFormatting>
  <conditionalFormatting sqref="BJ21">
    <cfRule type="expression" dxfId="67" priority="208">
      <formula>IF($BF21=1,TRUE,FALSE)</formula>
    </cfRule>
  </conditionalFormatting>
  <conditionalFormatting sqref="BJ21">
    <cfRule type="expression" dxfId="66" priority="207">
      <formula>IF($X21="",FALSE,IF($Z21="",IF($X21&lt;TODAY(),TRUE,FALSE),FALSE))</formula>
    </cfRule>
  </conditionalFormatting>
  <conditionalFormatting sqref="BJ21">
    <cfRule type="expression" dxfId="65" priority="206">
      <formula>IF($Y21="",FALSE,IF($AA21="",IF($Y21&lt;TODAY(),TRUE,FALSE),FALSE))</formula>
    </cfRule>
  </conditionalFormatting>
  <conditionalFormatting sqref="BJ21">
    <cfRule type="expression" dxfId="64" priority="205">
      <formula>IF($AI21=1,TRUE,FALSE)</formula>
    </cfRule>
  </conditionalFormatting>
  <conditionalFormatting sqref="BJ22">
    <cfRule type="expression" dxfId="63" priority="204">
      <formula>IF($AU22="",FALSE,IF($AW22="",IF($AU22&lt;TODAY(),TRUE,FALSE),FALSE))</formula>
    </cfRule>
  </conditionalFormatting>
  <conditionalFormatting sqref="BJ22">
    <cfRule type="expression" dxfId="62" priority="203">
      <formula>IF($BF22=1,TRUE,FALSE)</formula>
    </cfRule>
  </conditionalFormatting>
  <conditionalFormatting sqref="BJ22">
    <cfRule type="expression" dxfId="61" priority="202">
      <formula>IF($AU22="",FALSE,IF($AW22="",IF($AU22&lt;TODAY(),TRUE,FALSE),FALSE))</formula>
    </cfRule>
  </conditionalFormatting>
  <conditionalFormatting sqref="BJ22">
    <cfRule type="expression" dxfId="60" priority="201">
      <formula>IF($AU22="",FALSE,IF($AW22="",IF($AU22&lt;TODAY(),TRUE,FALSE),FALSE))</formula>
    </cfRule>
  </conditionalFormatting>
  <conditionalFormatting sqref="BJ22">
    <cfRule type="expression" dxfId="59" priority="200">
      <formula>IF($BF22=1,TRUE,FALSE)</formula>
    </cfRule>
  </conditionalFormatting>
  <conditionalFormatting sqref="BJ22">
    <cfRule type="expression" dxfId="58" priority="199">
      <formula>IF($AU22="",FALSE,IF($AW22="",IF($AU22&lt;TODAY(),TRUE,FALSE),FALSE))</formula>
    </cfRule>
  </conditionalFormatting>
  <conditionalFormatting sqref="BJ22">
    <cfRule type="expression" dxfId="57" priority="198">
      <formula>IF($AU22="",FALSE,IF($AW22="",IF($AU22&lt;TODAY(),TRUE,FALSE),FALSE))</formula>
    </cfRule>
  </conditionalFormatting>
  <conditionalFormatting sqref="BJ22">
    <cfRule type="expression" dxfId="56" priority="197">
      <formula>IF($BF22=1,TRUE,FALSE)</formula>
    </cfRule>
  </conditionalFormatting>
  <conditionalFormatting sqref="BJ22">
    <cfRule type="expression" dxfId="55" priority="196">
      <formula>IF($AU22="",FALSE,IF($AW22="",IF($AU22&lt;TODAY(),TRUE,FALSE),FALSE))</formula>
    </cfRule>
  </conditionalFormatting>
  <conditionalFormatting sqref="BJ22">
    <cfRule type="expression" dxfId="54" priority="195">
      <formula>IF($BF22=1,TRUE,FALSE)</formula>
    </cfRule>
  </conditionalFormatting>
  <conditionalFormatting sqref="BJ22">
    <cfRule type="expression" dxfId="53" priority="194">
      <formula>IF($AU22="",FALSE,IF($AW22="",IF($AU22&lt;TODAY(),TRUE,FALSE),FALSE))</formula>
    </cfRule>
  </conditionalFormatting>
  <conditionalFormatting sqref="BJ22">
    <cfRule type="expression" dxfId="52" priority="193">
      <formula>IF($AU22="",FALSE,IF($AW22="",IF($AU22&lt;TODAY(),TRUE,FALSE),FALSE))</formula>
    </cfRule>
  </conditionalFormatting>
  <conditionalFormatting sqref="BJ22">
    <cfRule type="expression" dxfId="51" priority="192">
      <formula>IF($BF22=1,TRUE,FALSE)</formula>
    </cfRule>
  </conditionalFormatting>
  <conditionalFormatting sqref="BJ22">
    <cfRule type="expression" dxfId="50" priority="191">
      <formula>IF($AU22="",FALSE,IF($AW22="",IF($AU22&lt;TODAY(),TRUE,FALSE),FALSE))</formula>
    </cfRule>
  </conditionalFormatting>
  <conditionalFormatting sqref="BJ22">
    <cfRule type="expression" dxfId="49" priority="190">
      <formula>IF($BF22=1,TRUE,FALSE)</formula>
    </cfRule>
  </conditionalFormatting>
  <conditionalFormatting sqref="BJ22">
    <cfRule type="expression" dxfId="48" priority="189">
      <formula>IF($X22="",FALSE,IF($Z22="",IF($X22&lt;TODAY(),TRUE,FALSE),FALSE))</formula>
    </cfRule>
  </conditionalFormatting>
  <conditionalFormatting sqref="BJ22">
    <cfRule type="expression" dxfId="47" priority="188">
      <formula>IF($Y22="",FALSE,IF($AA22="",IF($Y22&lt;TODAY(),TRUE,FALSE),FALSE))</formula>
    </cfRule>
  </conditionalFormatting>
  <conditionalFormatting sqref="BJ22">
    <cfRule type="expression" dxfId="46" priority="187">
      <formula>IF($AI22=1,TRUE,FALSE)</formula>
    </cfRule>
  </conditionalFormatting>
  <conditionalFormatting sqref="BJ10">
    <cfRule type="expression" dxfId="45" priority="73">
      <formula>IF($AU10="",FALSE,IF($AW10="",IF($AU10&lt;TODAY(),TRUE,FALSE),FALSE))</formula>
    </cfRule>
  </conditionalFormatting>
  <conditionalFormatting sqref="BJ10">
    <cfRule type="expression" dxfId="44" priority="72">
      <formula>IF($BF10=1,TRUE,FALSE)</formula>
    </cfRule>
  </conditionalFormatting>
  <conditionalFormatting sqref="BJ21:BJ22">
    <cfRule type="expression" dxfId="43" priority="71">
      <formula>IF($AU21="",FALSE,IF($AW21="",IF($AU21&lt;TODAY(),TRUE,FALSE),FALSE))</formula>
    </cfRule>
  </conditionalFormatting>
  <conditionalFormatting sqref="BJ21:BJ22">
    <cfRule type="expression" dxfId="42" priority="70">
      <formula>IF($BF21=1,TRUE,FALSE)</formula>
    </cfRule>
  </conditionalFormatting>
  <conditionalFormatting sqref="BJ21">
    <cfRule type="expression" dxfId="41" priority="69">
      <formula>IF($AU21="",FALSE,IF($AW21="",IF($AU21&lt;TODAY(),TRUE,FALSE),FALSE))</formula>
    </cfRule>
  </conditionalFormatting>
  <conditionalFormatting sqref="BJ21">
    <cfRule type="expression" dxfId="40" priority="68">
      <formula>IF($BF21=1,TRUE,FALSE)</formula>
    </cfRule>
  </conditionalFormatting>
  <conditionalFormatting sqref="BJ21:BJ22">
    <cfRule type="expression" dxfId="39" priority="67">
      <formula>IF($AU21="",FALSE,IF($AW21="",IF($AU21&lt;TODAY(),TRUE,FALSE),FALSE))</formula>
    </cfRule>
  </conditionalFormatting>
  <conditionalFormatting sqref="BJ21:BJ22">
    <cfRule type="expression" dxfId="38" priority="66">
      <formula>IF($BF21=1,TRUE,FALSE)</formula>
    </cfRule>
  </conditionalFormatting>
  <conditionalFormatting sqref="BI21">
    <cfRule type="expression" dxfId="37" priority="65">
      <formula>IF($X21="",FALSE,IF($Z21="",IF($X21&lt;TODAY(),TRUE,FALSE),FALSE))</formula>
    </cfRule>
  </conditionalFormatting>
  <conditionalFormatting sqref="BI21">
    <cfRule type="expression" dxfId="36" priority="64">
      <formula>IF($AU21="",FALSE,IF($AW21="",IF($AU21&lt;TODAY(),TRUE,FALSE),FALSE))</formula>
    </cfRule>
  </conditionalFormatting>
  <conditionalFormatting sqref="BI21">
    <cfRule type="expression" dxfId="35" priority="63">
      <formula>IF($AU21="",FALSE,IF($AW21="",IF($AU21&lt;TODAY(),TRUE,FALSE),FALSE))</formula>
    </cfRule>
  </conditionalFormatting>
  <conditionalFormatting sqref="BI21">
    <cfRule type="expression" dxfId="34" priority="62">
      <formula>IF($BF21=1,TRUE,FALSE)</formula>
    </cfRule>
  </conditionalFormatting>
  <conditionalFormatting sqref="BI21">
    <cfRule type="expression" dxfId="33" priority="61">
      <formula>IF($AU21="",FALSE,IF($AW21="",IF($AU21&lt;TODAY(),TRUE,FALSE),FALSE))</formula>
    </cfRule>
  </conditionalFormatting>
  <conditionalFormatting sqref="BI21">
    <cfRule type="expression" dxfId="32" priority="60">
      <formula>IF($BF21=1,TRUE,FALSE)</formula>
    </cfRule>
  </conditionalFormatting>
  <conditionalFormatting sqref="BI21">
    <cfRule type="expression" dxfId="31" priority="59">
      <formula>IF($AU21="",FALSE,IF($AW21="",IF($AU21&lt;TODAY(),TRUE,FALSE),FALSE))</formula>
    </cfRule>
  </conditionalFormatting>
  <conditionalFormatting sqref="BI21">
    <cfRule type="expression" dxfId="30" priority="58">
      <formula>IF($Y21="",FALSE,IF($AA21="",IF($Y21&lt;TODAY(),TRUE,FALSE),FALSE))</formula>
    </cfRule>
  </conditionalFormatting>
  <conditionalFormatting sqref="BI21">
    <cfRule type="expression" dxfId="29" priority="57">
      <formula>IF($AU21="",FALSE,IF($AW21="",IF($AU21&lt;TODAY(),TRUE,FALSE),FALSE))</formula>
    </cfRule>
  </conditionalFormatting>
  <conditionalFormatting sqref="BI21">
    <cfRule type="expression" dxfId="28" priority="56">
      <formula>IF($AI21=1,TRUE,FALSE)</formula>
    </cfRule>
  </conditionalFormatting>
  <conditionalFormatting sqref="BI21">
    <cfRule type="expression" dxfId="27" priority="55">
      <formula>IF($X21="",FALSE,IF($Z21="",IF($X21&lt;TODAY(),TRUE,FALSE),FALSE))</formula>
    </cfRule>
  </conditionalFormatting>
  <conditionalFormatting sqref="BI21">
    <cfRule type="expression" dxfId="26" priority="54">
      <formula>IF($AU21="",FALSE,IF($AW21="",IF($AU21&lt;TODAY(),TRUE,FALSE),FALSE))</formula>
    </cfRule>
  </conditionalFormatting>
  <conditionalFormatting sqref="BI21">
    <cfRule type="expression" dxfId="25" priority="53">
      <formula>IF($BF21=1,TRUE,FALSE)</formula>
    </cfRule>
  </conditionalFormatting>
  <conditionalFormatting sqref="AY21">
    <cfRule type="expression" dxfId="24" priority="52">
      <formula>$BT21&lt;&gt;""</formula>
    </cfRule>
  </conditionalFormatting>
  <conditionalFormatting sqref="AY22">
    <cfRule type="expression" dxfId="23" priority="51">
      <formula>$BT22&lt;&gt;""</formula>
    </cfRule>
  </conditionalFormatting>
  <conditionalFormatting sqref="AY11">
    <cfRule type="expression" dxfId="22" priority="50">
      <formula>$BT11&lt;&gt;""</formula>
    </cfRule>
  </conditionalFormatting>
  <conditionalFormatting sqref="AY12">
    <cfRule type="expression" dxfId="21" priority="49">
      <formula>$BT12&lt;&gt;""</formula>
    </cfRule>
  </conditionalFormatting>
  <conditionalFormatting sqref="AY19">
    <cfRule type="expression" dxfId="19" priority="47">
      <formula>$BT19&lt;&gt;""</formula>
    </cfRule>
  </conditionalFormatting>
  <conditionalFormatting sqref="AY20">
    <cfRule type="expression" dxfId="18" priority="46">
      <formula>$BT20&lt;&gt;""</formula>
    </cfRule>
  </conditionalFormatting>
  <conditionalFormatting sqref="AV15">
    <cfRule type="expression" dxfId="2" priority="3">
      <formula>$BT15&lt;&gt;""</formula>
    </cfRule>
  </conditionalFormatting>
  <conditionalFormatting sqref="AV16">
    <cfRule type="expression" dxfId="1" priority="2">
      <formula>$BT16&lt;&gt;""</formula>
    </cfRule>
  </conditionalFormatting>
  <conditionalFormatting sqref="AV17">
    <cfRule type="expression" dxfId="0" priority="1">
      <formula>$BT17&lt;&gt;""</formula>
    </cfRule>
  </conditionalFormatting>
  <dataValidations count="12">
    <dataValidation type="decimal" operator="greaterThan" allowBlank="1" showInputMessage="1" showErrorMessage="1" sqref="BA3 AD3 T9:T23" xr:uid="{00000000-0002-0000-0000-000000000000}">
      <formula1>0</formula1>
    </dataValidation>
    <dataValidation type="decimal" allowBlank="1" showInputMessage="1" showErrorMessage="1" sqref="BQ4:BT4 AJ23 AM23:AP23 AN9:AN10 BF9:BF23 AI9:AI23 BI14:BI18 AK9:AK23" xr:uid="{00000000-0002-0000-0000-000001000000}">
      <formula1>0</formula1>
      <formula2>1</formula2>
    </dataValidation>
    <dataValidation operator="greaterThan" allowBlank="1" showInputMessage="1" showErrorMessage="1" sqref="AF3 BC3" xr:uid="{00000000-0002-0000-0000-000002000000}"/>
    <dataValidation type="decimal" operator="greaterThanOrEqual" allowBlank="1" showInputMessage="1" showErrorMessage="1" sqref="AE3 BB3" xr:uid="{00000000-0002-0000-0000-000003000000}">
      <formula1>AD3</formula1>
    </dataValidation>
    <dataValidation type="date" operator="greaterThanOrEqual" allowBlank="1" showInputMessage="1" showErrorMessage="1" sqref="X23:Y23 BH11 BJ11:BK11 BK20:BK22 AN15:AN21 AP15:AP21 AV19 BK10 AV21:AV22 AU22 AN11:AN13 AO9:AP13 BK13:BK18 O9:R23 AS9:AS23 V9:V23 BN9:BN23 AW14:AX23 AO14:AO22 AU9:AX13" xr:uid="{00000000-0002-0000-0000-000004000000}">
      <formula1>36526</formula1>
    </dataValidation>
    <dataValidation operator="greaterThanOrEqual" allowBlank="1" showInputMessage="1" showErrorMessage="1" sqref="Z23:AA23 AN14:AN18 AP14:AP18 BI19:BI20 BH12:BK12 BK17:BK19 AN22 AP22 BJ15:BK15 AU23:AV23 AV20 BJ16:BJ20 BJ22 BH21:BJ21 BH22 BK9 BH9:BJ10 AR9:AR23 X9:AA22 AH9:AH23 BE9:BE23 BM9:BM23 BJ13:BJ14 AU14:AU21 BH13:BH20 AV14:AV18" xr:uid="{00000000-0002-0000-0000-000009000000}"/>
    <dataValidation type="decimal" operator="greaterThanOrEqual" allowBlank="1" showInputMessage="1" showErrorMessage="1" sqref="AZ23 AC9:AC23 U9:U23 K9:L23" xr:uid="{00000000-0002-0000-0000-000005000000}">
      <formula1>0</formula1>
    </dataValidation>
    <dataValidation type="whole" operator="greaterThanOrEqual" allowBlank="1" showInputMessage="1" showErrorMessage="1" sqref="AF9:AF23 BC9:BC23 CA9:CD23" xr:uid="{00000000-0002-0000-0000-000006000000}">
      <formula1>0</formula1>
    </dataValidation>
    <dataValidation type="list" allowBlank="1" showInputMessage="1" showErrorMessage="1" sqref="J9:J23" xr:uid="{00000000-0002-0000-0000-000007000000}">
      <formula1>"　,取消"</formula1>
    </dataValidation>
    <dataValidation type="list" allowBlank="1" showInputMessage="1" showErrorMessage="1" sqref="H9:H22" xr:uid="{75C7EC17-4F7F-4E21-8468-FC43A2B30A2D}">
      <formula1>"バッチ,画面,帳票"</formula1>
    </dataValidation>
    <dataValidation type="list" operator="greaterThanOrEqual" allowBlank="1" showInputMessage="1" showErrorMessage="1" sqref="AG9:AG23" xr:uid="{00000000-0002-0000-0000-000008000000}">
      <formula1>$AG$26:$AG$35</formula1>
    </dataValidation>
    <dataValidation type="list" operator="greaterThanOrEqual" allowBlank="1" showInputMessage="1" showErrorMessage="1" sqref="BD9:BD23" xr:uid="{00000000-0002-0000-0000-00000A000000}">
      <formula1>$BD$26:$BD$35</formula1>
    </dataValidation>
  </dataValidations>
  <pageMargins left="0.51181102362204722" right="0.51181102362204722" top="0.55118110236220474" bottom="0.55118110236220474" header="0.31496062992125984" footer="0.31496062992125984"/>
  <pageSetup paperSize="8" scale="23"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Progress_UT_DataCreate">
                <anchor moveWithCells="1" sizeWithCells="1">
                  <from>
                    <xdr:col>5</xdr:col>
                    <xdr:colOff>876300</xdr:colOff>
                    <xdr:row>3</xdr:row>
                    <xdr:rowOff>152400</xdr:rowOff>
                  </from>
                  <to>
                    <xdr:col>5</xdr:col>
                    <xdr:colOff>1952625</xdr:colOff>
                    <xdr:row>5</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tabColor rgb="FF92D050"/>
    <pageSetUpPr fitToPage="1"/>
  </sheetPr>
  <dimension ref="A1:BS35"/>
  <sheetViews>
    <sheetView showGridLines="0" view="pageBreakPreview" zoomScaleNormal="70" zoomScaleSheetLayoutView="100" workbookViewId="0">
      <pane xSplit="6" ySplit="8" topLeftCell="G9" activePane="bottomRight" state="frozen"/>
      <selection pane="topRight" activeCell="G1" sqref="G1"/>
      <selection pane="bottomLeft" activeCell="A8" sqref="A8"/>
      <selection pane="bottomRight" activeCell="B2" sqref="B2:D2"/>
    </sheetView>
  </sheetViews>
  <sheetFormatPr defaultColWidth="8.88671875" defaultRowHeight="14.25"/>
  <cols>
    <col min="1" max="1" width="4.77734375" style="73" hidden="1" customWidth="1"/>
    <col min="2" max="2" width="3.6640625" style="2" bestFit="1" customWidth="1"/>
    <col min="3" max="3" width="5.88671875" style="2" bestFit="1" customWidth="1"/>
    <col min="4" max="4" width="12.44140625" style="2" customWidth="1"/>
    <col min="5" max="5" width="12.77734375" style="2" customWidth="1"/>
    <col min="6" max="6" width="29.6640625" style="2" bestFit="1" customWidth="1"/>
    <col min="7" max="7" width="4.5546875" style="2" bestFit="1" customWidth="1"/>
    <col min="8" max="8" width="7.109375" style="2" bestFit="1" customWidth="1"/>
    <col min="9" max="9" width="5.6640625" style="2" bestFit="1" customWidth="1"/>
    <col min="10" max="10" width="5.88671875" style="2" bestFit="1" customWidth="1"/>
    <col min="11" max="11" width="7.33203125" style="3" bestFit="1" customWidth="1"/>
    <col min="12" max="12" width="7.33203125" style="3" customWidth="1"/>
    <col min="13" max="13" width="5.88671875" style="4" bestFit="1" customWidth="1"/>
    <col min="14" max="14" width="26.77734375" style="4" customWidth="1"/>
    <col min="15" max="15" width="4.6640625" style="5" hidden="1" customWidth="1"/>
    <col min="16" max="16" width="5.5546875" style="5" hidden="1" customWidth="1"/>
    <col min="17" max="18" width="4.44140625" style="5" hidden="1" customWidth="1"/>
    <col min="19" max="19" width="5.88671875" style="4" hidden="1" customWidth="1"/>
    <col min="20" max="20" width="5.77734375" style="6" hidden="1" customWidth="1"/>
    <col min="21" max="21" width="5.44140625" style="4" hidden="1" customWidth="1"/>
    <col min="22" max="22" width="5.88671875" style="4" hidden="1" customWidth="1"/>
    <col min="23" max="23" width="5.88671875" style="5" hidden="1" customWidth="1"/>
    <col min="24" max="27" width="6.77734375" style="5" customWidth="1"/>
    <col min="28" max="28" width="7.77734375" style="6" customWidth="1"/>
    <col min="29" max="29" width="7.77734375" style="5" customWidth="1"/>
    <col min="30" max="30" width="6.109375" style="4" bestFit="1" customWidth="1"/>
    <col min="31" max="31" width="6.109375" style="4" customWidth="1"/>
    <col min="32" max="32" width="6.77734375" style="4" customWidth="1"/>
    <col min="33" max="33" width="10" style="4" customWidth="1"/>
    <col min="34" max="34" width="2" style="4" customWidth="1"/>
    <col min="35" max="35" width="6.33203125" style="4" bestFit="1" customWidth="1"/>
    <col min="36" max="36" width="6.33203125" style="4" customWidth="1"/>
    <col min="37" max="37" width="10.77734375" style="4" customWidth="1"/>
    <col min="38" max="38" width="5.88671875" style="4" bestFit="1" customWidth="1"/>
    <col min="39" max="39" width="5.88671875" style="5" bestFit="1" customWidth="1"/>
    <col min="40" max="41" width="6.77734375" style="5" customWidth="1"/>
    <col min="42" max="42" width="6.77734375" style="4" customWidth="1"/>
    <col min="43" max="43" width="6.77734375" style="6" customWidth="1"/>
    <col min="44" max="44" width="7.6640625" style="4" customWidth="1"/>
    <col min="45" max="45" width="7.6640625" style="2" customWidth="1"/>
    <col min="46" max="46" width="6.109375" style="2" customWidth="1"/>
    <col min="47" max="47" width="6.109375" style="4" customWidth="1"/>
    <col min="48" max="48" width="6.77734375" style="2" customWidth="1"/>
    <col min="49" max="49" width="10" style="4" customWidth="1"/>
    <col min="50" max="50" width="2" style="4" customWidth="1"/>
    <col min="51" max="52" width="6.33203125" style="4" customWidth="1"/>
    <col min="53" max="53" width="10.77734375" style="4" customWidth="1"/>
    <col min="54" max="54" width="5.88671875" style="4" bestFit="1" customWidth="1"/>
    <col min="55" max="55" width="5.88671875" style="2" bestFit="1" customWidth="1"/>
    <col min="56" max="56" width="0.6640625" style="2" customWidth="1"/>
    <col min="57" max="71" width="7.77734375" style="2" customWidth="1"/>
    <col min="72" max="16384" width="8.88671875" style="2"/>
  </cols>
  <sheetData>
    <row r="1" spans="1:71" s="72" customFormat="1" ht="8.25" hidden="1" customHeight="1">
      <c r="A1" s="70"/>
      <c r="B1" s="71">
        <f>COLUMN()</f>
        <v>2</v>
      </c>
      <c r="C1" s="71">
        <f>COLUMN()</f>
        <v>3</v>
      </c>
      <c r="D1" s="71">
        <f>COLUMN()</f>
        <v>4</v>
      </c>
      <c r="E1" s="71">
        <f>COLUMN()</f>
        <v>5</v>
      </c>
      <c r="F1" s="71">
        <f>COLUMN()</f>
        <v>6</v>
      </c>
      <c r="G1" s="71">
        <f>COLUMN()</f>
        <v>7</v>
      </c>
      <c r="H1" s="71">
        <f>COLUMN()</f>
        <v>8</v>
      </c>
      <c r="I1" s="71">
        <f>COLUMN()</f>
        <v>9</v>
      </c>
      <c r="J1" s="71">
        <f>COLUMN()</f>
        <v>10</v>
      </c>
      <c r="K1" s="71">
        <f>COLUMN()</f>
        <v>11</v>
      </c>
      <c r="L1" s="71">
        <f>COLUMN()</f>
        <v>12</v>
      </c>
      <c r="M1" s="71">
        <f>COLUMN()</f>
        <v>13</v>
      </c>
      <c r="N1" s="71">
        <f>COLUMN()</f>
        <v>14</v>
      </c>
      <c r="O1" s="71">
        <f>COLUMN()</f>
        <v>15</v>
      </c>
      <c r="P1" s="71">
        <f>COLUMN()</f>
        <v>16</v>
      </c>
      <c r="Q1" s="71">
        <f>COLUMN()</f>
        <v>17</v>
      </c>
      <c r="R1" s="71">
        <f>COLUMN()</f>
        <v>18</v>
      </c>
      <c r="S1" s="71">
        <f>COLUMN()</f>
        <v>19</v>
      </c>
      <c r="T1" s="71">
        <f>COLUMN()</f>
        <v>20</v>
      </c>
      <c r="U1" s="71">
        <f>COLUMN()</f>
        <v>21</v>
      </c>
      <c r="V1" s="71">
        <f>COLUMN()</f>
        <v>22</v>
      </c>
      <c r="W1" s="71">
        <f>COLUMN()</f>
        <v>23</v>
      </c>
      <c r="X1" s="71">
        <f>COLUMN()</f>
        <v>24</v>
      </c>
      <c r="Y1" s="71">
        <f>COLUMN()</f>
        <v>25</v>
      </c>
      <c r="Z1" s="71">
        <f>COLUMN()</f>
        <v>26</v>
      </c>
      <c r="AA1" s="71">
        <f>COLUMN()</f>
        <v>27</v>
      </c>
      <c r="AB1" s="71">
        <f>COLUMN()</f>
        <v>28</v>
      </c>
      <c r="AC1" s="71">
        <f>COLUMN()</f>
        <v>29</v>
      </c>
      <c r="AD1" s="71">
        <f>COLUMN()</f>
        <v>30</v>
      </c>
      <c r="AE1" s="71"/>
      <c r="AF1" s="71">
        <f>COLUMN()</f>
        <v>32</v>
      </c>
      <c r="AG1" s="71">
        <f>COLUMN()</f>
        <v>33</v>
      </c>
      <c r="AH1" s="71"/>
      <c r="AI1" s="71">
        <f>COLUMN()</f>
        <v>35</v>
      </c>
      <c r="AJ1" s="71"/>
      <c r="AK1" s="71"/>
      <c r="AL1" s="71">
        <f>COLUMN()</f>
        <v>38</v>
      </c>
      <c r="AM1" s="71">
        <f>COLUMN()</f>
        <v>39</v>
      </c>
      <c r="AN1" s="71">
        <f>COLUMN()</f>
        <v>40</v>
      </c>
      <c r="AO1" s="71">
        <f>COLUMN()</f>
        <v>41</v>
      </c>
      <c r="AP1" s="71">
        <f>COLUMN()</f>
        <v>42</v>
      </c>
      <c r="AQ1" s="71">
        <f>COLUMN()</f>
        <v>43</v>
      </c>
      <c r="AR1" s="71">
        <f>COLUMN()</f>
        <v>44</v>
      </c>
      <c r="AS1" s="71">
        <f>COLUMN()</f>
        <v>45</v>
      </c>
      <c r="AT1" s="71">
        <f>COLUMN()</f>
        <v>46</v>
      </c>
      <c r="AU1" s="71"/>
      <c r="AV1" s="71">
        <f>COLUMN()</f>
        <v>48</v>
      </c>
      <c r="AW1" s="71">
        <f>COLUMN()</f>
        <v>49</v>
      </c>
      <c r="AX1" s="71"/>
      <c r="AY1" s="71">
        <f>COLUMN()</f>
        <v>51</v>
      </c>
      <c r="AZ1" s="71"/>
      <c r="BA1" s="71"/>
      <c r="BB1" s="71">
        <f>COLUMN()</f>
        <v>54</v>
      </c>
      <c r="BC1" s="71">
        <f>COLUMN()</f>
        <v>55</v>
      </c>
      <c r="BE1" s="121">
        <f>COLUMN()</f>
        <v>57</v>
      </c>
      <c r="BF1" s="121">
        <f>COLUMN()</f>
        <v>58</v>
      </c>
      <c r="BG1" s="121">
        <f>COLUMN()</f>
        <v>59</v>
      </c>
      <c r="BH1" s="121">
        <f>COLUMN()</f>
        <v>60</v>
      </c>
      <c r="BI1" s="121">
        <f>COLUMN()</f>
        <v>61</v>
      </c>
      <c r="BJ1" s="121">
        <f>COLUMN()</f>
        <v>62</v>
      </c>
      <c r="BK1" s="121">
        <f>COLUMN()</f>
        <v>63</v>
      </c>
      <c r="BL1" s="121">
        <f>COLUMN()</f>
        <v>64</v>
      </c>
      <c r="BM1" s="121">
        <f>COLUMN()</f>
        <v>65</v>
      </c>
      <c r="BN1" s="121">
        <f>COLUMN()</f>
        <v>66</v>
      </c>
      <c r="BO1" s="121">
        <f>COLUMN()</f>
        <v>67</v>
      </c>
      <c r="BP1" s="121">
        <f>COLUMN()</f>
        <v>68</v>
      </c>
      <c r="BQ1" s="121">
        <f>COLUMN()</f>
        <v>69</v>
      </c>
      <c r="BR1" s="121">
        <f>COLUMN()</f>
        <v>70</v>
      </c>
      <c r="BS1" s="121">
        <f>COLUMN()</f>
        <v>71</v>
      </c>
    </row>
    <row r="2" spans="1:71" ht="19.5">
      <c r="A2" s="73">
        <f ca="1">_xlfn.SHEET()</f>
        <v>2</v>
      </c>
      <c r="B2" s="216" t="s">
        <v>0</v>
      </c>
      <c r="C2" s="216"/>
      <c r="D2" s="216"/>
      <c r="E2" s="256" t="s">
        <v>92</v>
      </c>
      <c r="F2" s="218"/>
      <c r="G2" s="21"/>
      <c r="H2" s="21"/>
      <c r="I2" s="21"/>
      <c r="J2" s="21"/>
      <c r="K2" s="22"/>
      <c r="L2" s="22"/>
      <c r="M2" s="23"/>
      <c r="N2" s="23"/>
      <c r="O2" s="24"/>
      <c r="P2" s="24"/>
      <c r="Q2" s="24"/>
      <c r="R2" s="24"/>
      <c r="S2" s="23"/>
      <c r="T2" s="25"/>
      <c r="U2" s="23"/>
      <c r="V2" s="23"/>
      <c r="W2" s="24"/>
      <c r="X2" s="24"/>
      <c r="Y2" s="24"/>
      <c r="Z2" s="24"/>
      <c r="AA2" s="24"/>
      <c r="AD2" s="186" t="s">
        <v>1</v>
      </c>
      <c r="AE2" s="186" t="s">
        <v>2</v>
      </c>
      <c r="AF2" s="186" t="s">
        <v>3</v>
      </c>
      <c r="AG2" s="23"/>
      <c r="AH2" s="23"/>
      <c r="AI2" s="23"/>
      <c r="AJ2" s="23"/>
      <c r="AK2" s="23"/>
      <c r="AL2" s="23"/>
      <c r="AM2" s="24"/>
      <c r="AN2" s="24"/>
      <c r="AO2" s="24"/>
      <c r="AP2" s="23"/>
      <c r="AQ2" s="25"/>
      <c r="AT2" s="187" t="s">
        <v>1</v>
      </c>
      <c r="AU2" s="187" t="s">
        <v>2</v>
      </c>
      <c r="AV2" s="187" t="s">
        <v>3</v>
      </c>
      <c r="AW2" s="23"/>
      <c r="AX2" s="23"/>
      <c r="AY2" s="26"/>
      <c r="AZ2" s="23"/>
      <c r="BA2" s="23"/>
      <c r="BB2" s="23"/>
      <c r="BC2" s="21"/>
      <c r="BE2" s="223" t="s">
        <v>4</v>
      </c>
      <c r="BF2" s="223"/>
      <c r="BG2" s="223"/>
      <c r="BH2" s="223"/>
      <c r="BI2" s="223"/>
    </row>
    <row r="3" spans="1:71" ht="19.5">
      <c r="B3" s="216" t="s">
        <v>5</v>
      </c>
      <c r="C3" s="216"/>
      <c r="D3" s="216"/>
      <c r="E3" s="256" t="s">
        <v>93</v>
      </c>
      <c r="F3" s="218"/>
      <c r="G3" s="21"/>
      <c r="H3" s="21"/>
      <c r="I3" s="21"/>
      <c r="J3" s="21"/>
      <c r="K3" s="22"/>
      <c r="L3" s="22"/>
      <c r="M3" s="23"/>
      <c r="N3" s="23"/>
      <c r="O3" s="24"/>
      <c r="P3" s="24"/>
      <c r="Q3" s="24"/>
      <c r="R3" s="24"/>
      <c r="S3" s="23"/>
      <c r="T3" s="27"/>
      <c r="U3" s="28"/>
      <c r="V3" s="28"/>
      <c r="W3" s="24"/>
      <c r="X3" s="24"/>
      <c r="Y3" s="24"/>
      <c r="Z3" s="24"/>
      <c r="AA3" s="24"/>
      <c r="AB3" s="243" t="s">
        <v>6</v>
      </c>
      <c r="AC3" s="244"/>
      <c r="AD3" s="188">
        <v>95</v>
      </c>
      <c r="AE3" s="188">
        <v>110</v>
      </c>
      <c r="AF3" s="189">
        <f>IF(AE3="",AD3,(AD3+AE3)/2)</f>
        <v>102.5</v>
      </c>
      <c r="AG3" s="26"/>
      <c r="AH3" s="26"/>
      <c r="AI3" s="28"/>
      <c r="AJ3" s="28"/>
      <c r="AK3" s="28"/>
      <c r="AL3" s="28"/>
      <c r="AM3" s="24"/>
      <c r="AN3" s="24"/>
      <c r="AO3" s="24"/>
      <c r="AP3" s="23"/>
      <c r="AQ3" s="25"/>
      <c r="AR3" s="248" t="s">
        <v>7</v>
      </c>
      <c r="AS3" s="249"/>
      <c r="AT3" s="188">
        <v>11</v>
      </c>
      <c r="AU3" s="188">
        <v>15</v>
      </c>
      <c r="AV3" s="189">
        <f>IF(AU3="",AT3,(AT3+AU3)/2)</f>
        <v>13</v>
      </c>
      <c r="AW3" s="26"/>
      <c r="AX3" s="26"/>
      <c r="AY3" s="26"/>
      <c r="AZ3" s="28"/>
      <c r="BA3" s="28"/>
      <c r="BB3" s="28"/>
      <c r="BC3" s="21"/>
      <c r="BE3" s="190" t="s">
        <v>8</v>
      </c>
      <c r="BF3" s="190" t="s">
        <v>9</v>
      </c>
      <c r="BG3" s="190" t="s">
        <v>10</v>
      </c>
      <c r="BH3" s="190" t="s">
        <v>11</v>
      </c>
      <c r="BI3" s="190" t="s">
        <v>12</v>
      </c>
    </row>
    <row r="4" spans="1:71" ht="19.5">
      <c r="B4" s="94"/>
      <c r="C4" s="94"/>
      <c r="D4" s="94"/>
      <c r="E4" s="94"/>
      <c r="F4" s="94"/>
      <c r="G4" s="21"/>
      <c r="H4" s="21"/>
      <c r="I4" s="21"/>
      <c r="J4" s="21"/>
      <c r="K4" s="22"/>
      <c r="L4" s="22"/>
      <c r="M4" s="23"/>
      <c r="N4" s="23"/>
      <c r="O4" s="24"/>
      <c r="P4" s="24"/>
      <c r="Q4" s="24"/>
      <c r="R4" s="24"/>
      <c r="S4" s="23"/>
      <c r="T4" s="27"/>
      <c r="U4" s="28"/>
      <c r="V4" s="28"/>
      <c r="W4" s="24"/>
      <c r="X4" s="24"/>
      <c r="Y4" s="24"/>
      <c r="Z4" s="24"/>
      <c r="AA4" s="24"/>
      <c r="AB4" s="24"/>
      <c r="AC4" s="24"/>
      <c r="AD4" s="24"/>
      <c r="AE4" s="24"/>
      <c r="AF4" s="26"/>
      <c r="AG4" s="26"/>
      <c r="AH4" s="26"/>
      <c r="AI4" s="28"/>
      <c r="AJ4" s="28"/>
      <c r="AK4" s="28"/>
      <c r="AL4" s="28"/>
      <c r="AM4" s="24"/>
      <c r="AN4" s="24"/>
      <c r="AO4" s="24"/>
      <c r="AP4" s="23"/>
      <c r="AQ4" s="25"/>
      <c r="AR4" s="25"/>
      <c r="AS4" s="25"/>
      <c r="AT4" s="25"/>
      <c r="AU4" s="25"/>
      <c r="AV4" s="21"/>
      <c r="AW4" s="26"/>
      <c r="AX4" s="26"/>
      <c r="AY4" s="26"/>
      <c r="AZ4" s="28"/>
      <c r="BA4" s="28"/>
      <c r="BB4" s="28"/>
      <c r="BC4" s="21"/>
      <c r="BE4" s="191">
        <v>0.6</v>
      </c>
      <c r="BF4" s="191">
        <v>0.2</v>
      </c>
      <c r="BG4" s="191">
        <v>0.15</v>
      </c>
      <c r="BH4" s="191">
        <v>0.05</v>
      </c>
      <c r="BI4" s="192">
        <f>SUM(BE4:BH4)</f>
        <v>1</v>
      </c>
    </row>
    <row r="5" spans="1:71">
      <c r="A5" s="74"/>
      <c r="B5" s="21"/>
      <c r="C5" s="21"/>
      <c r="D5" s="21"/>
      <c r="E5" s="21"/>
      <c r="F5" s="21"/>
      <c r="G5" s="21"/>
      <c r="H5" s="21"/>
      <c r="I5" s="21"/>
      <c r="J5" s="21"/>
      <c r="K5" s="22"/>
      <c r="L5" s="22"/>
      <c r="M5" s="23"/>
      <c r="N5" s="23"/>
      <c r="O5" s="24"/>
      <c r="P5" s="24"/>
      <c r="Q5" s="24"/>
      <c r="R5" s="24"/>
      <c r="S5" s="28"/>
      <c r="T5" s="27"/>
      <c r="U5" s="28"/>
      <c r="V5" s="28"/>
      <c r="W5" s="24"/>
      <c r="X5" s="24"/>
      <c r="Y5" s="24"/>
      <c r="Z5" s="24"/>
      <c r="AA5" s="24"/>
      <c r="AB5" s="27"/>
      <c r="AC5" s="24"/>
      <c r="AD5" s="26"/>
      <c r="AE5" s="26"/>
      <c r="AF5" s="26"/>
      <c r="AG5" s="26"/>
      <c r="AH5" s="26"/>
      <c r="AI5" s="28"/>
      <c r="AJ5" s="28"/>
      <c r="AK5" s="28"/>
      <c r="AL5" s="28"/>
      <c r="AM5" s="24"/>
      <c r="AN5" s="24"/>
      <c r="AO5" s="24"/>
      <c r="AP5" s="23"/>
      <c r="AQ5" s="25"/>
      <c r="AR5" s="26"/>
      <c r="AS5" s="21"/>
      <c r="AT5" s="21"/>
      <c r="AU5" s="26"/>
      <c r="AV5" s="21"/>
      <c r="AW5" s="26"/>
      <c r="AX5" s="26"/>
      <c r="AY5" s="26"/>
      <c r="AZ5" s="28"/>
      <c r="BA5" s="28"/>
      <c r="BB5" s="28"/>
      <c r="BC5" s="21"/>
    </row>
    <row r="6" spans="1:71" ht="15.75">
      <c r="B6" s="257" t="s">
        <v>17</v>
      </c>
      <c r="C6" s="257"/>
      <c r="D6" s="193" t="s">
        <v>18</v>
      </c>
      <c r="E6" s="21"/>
      <c r="F6" s="21"/>
      <c r="G6" s="21"/>
      <c r="H6" s="21"/>
      <c r="I6" s="21"/>
      <c r="J6" s="21"/>
      <c r="K6" s="22"/>
      <c r="L6" s="22"/>
      <c r="M6" s="23"/>
      <c r="N6" s="23"/>
      <c r="O6" s="212" t="s">
        <v>94</v>
      </c>
      <c r="P6" s="245"/>
      <c r="Q6" s="245"/>
      <c r="R6" s="245"/>
      <c r="S6" s="245"/>
      <c r="T6" s="245"/>
      <c r="U6" s="245"/>
      <c r="V6" s="245"/>
      <c r="W6" s="213"/>
      <c r="X6" s="209" t="s">
        <v>20</v>
      </c>
      <c r="Y6" s="210"/>
      <c r="Z6" s="210"/>
      <c r="AA6" s="210"/>
      <c r="AB6" s="210"/>
      <c r="AC6" s="210"/>
      <c r="AD6" s="210"/>
      <c r="AE6" s="210"/>
      <c r="AF6" s="210"/>
      <c r="AG6" s="210"/>
      <c r="AH6" s="210"/>
      <c r="AI6" s="210"/>
      <c r="AJ6" s="210"/>
      <c r="AK6" s="210"/>
      <c r="AL6" s="210"/>
      <c r="AM6" s="211"/>
      <c r="AN6" s="232" t="s">
        <v>21</v>
      </c>
      <c r="AO6" s="233"/>
      <c r="AP6" s="233"/>
      <c r="AQ6" s="233"/>
      <c r="AR6" s="233"/>
      <c r="AS6" s="233"/>
      <c r="AT6" s="233"/>
      <c r="AU6" s="233"/>
      <c r="AV6" s="233"/>
      <c r="AW6" s="233"/>
      <c r="AX6" s="233"/>
      <c r="AY6" s="233"/>
      <c r="AZ6" s="233"/>
      <c r="BA6" s="233"/>
      <c r="BB6" s="233"/>
      <c r="BC6" s="234"/>
    </row>
    <row r="7" spans="1:71" s="21" customFormat="1" ht="14.25" customHeight="1">
      <c r="A7" s="87"/>
      <c r="B7" s="203" t="s">
        <v>22</v>
      </c>
      <c r="C7" s="203" t="s">
        <v>23</v>
      </c>
      <c r="D7" s="203" t="s">
        <v>24</v>
      </c>
      <c r="E7" s="203" t="s">
        <v>25</v>
      </c>
      <c r="F7" s="203" t="s">
        <v>26</v>
      </c>
      <c r="G7" s="203" t="s">
        <v>27</v>
      </c>
      <c r="H7" s="203" t="s">
        <v>28</v>
      </c>
      <c r="I7" s="203" t="s">
        <v>29</v>
      </c>
      <c r="J7" s="203" t="s">
        <v>30</v>
      </c>
      <c r="K7" s="214" t="s">
        <v>31</v>
      </c>
      <c r="L7" s="214" t="s">
        <v>32</v>
      </c>
      <c r="M7" s="203" t="s">
        <v>33</v>
      </c>
      <c r="N7" s="203" t="s">
        <v>95</v>
      </c>
      <c r="O7" s="212" t="s">
        <v>34</v>
      </c>
      <c r="P7" s="213"/>
      <c r="Q7" s="258" t="s">
        <v>35</v>
      </c>
      <c r="R7" s="259"/>
      <c r="S7" s="260" t="s">
        <v>36</v>
      </c>
      <c r="T7" s="235" t="s">
        <v>37</v>
      </c>
      <c r="U7" s="260" t="s">
        <v>38</v>
      </c>
      <c r="V7" s="235" t="s">
        <v>39</v>
      </c>
      <c r="W7" s="235" t="s">
        <v>40</v>
      </c>
      <c r="X7" s="224" t="s">
        <v>34</v>
      </c>
      <c r="Y7" s="225"/>
      <c r="Z7" s="224" t="s">
        <v>35</v>
      </c>
      <c r="AA7" s="225"/>
      <c r="AB7" s="226" t="s">
        <v>36</v>
      </c>
      <c r="AC7" s="207" t="s">
        <v>37</v>
      </c>
      <c r="AD7" s="209" t="s">
        <v>41</v>
      </c>
      <c r="AE7" s="210"/>
      <c r="AF7" s="211"/>
      <c r="AG7" s="255" t="s">
        <v>42</v>
      </c>
      <c r="AH7" s="255"/>
      <c r="AI7" s="255"/>
      <c r="AJ7" s="209" t="s">
        <v>46</v>
      </c>
      <c r="AK7" s="210"/>
      <c r="AL7" s="210"/>
      <c r="AM7" s="211"/>
      <c r="AN7" s="228" t="s">
        <v>34</v>
      </c>
      <c r="AO7" s="229"/>
      <c r="AP7" s="228" t="s">
        <v>35</v>
      </c>
      <c r="AQ7" s="229"/>
      <c r="AR7" s="205" t="s">
        <v>36</v>
      </c>
      <c r="AS7" s="230" t="s">
        <v>37</v>
      </c>
      <c r="AT7" s="232" t="s">
        <v>47</v>
      </c>
      <c r="AU7" s="233"/>
      <c r="AV7" s="234"/>
      <c r="AW7" s="254" t="s">
        <v>42</v>
      </c>
      <c r="AX7" s="254"/>
      <c r="AY7" s="254"/>
      <c r="AZ7" s="232" t="s">
        <v>50</v>
      </c>
      <c r="BA7" s="233"/>
      <c r="BB7" s="233"/>
      <c r="BC7" s="234"/>
      <c r="BE7" s="223" t="s">
        <v>51</v>
      </c>
      <c r="BF7" s="223"/>
      <c r="BG7" s="223"/>
      <c r="BH7" s="223"/>
      <c r="BI7" s="223"/>
      <c r="BJ7" s="223" t="s">
        <v>52</v>
      </c>
      <c r="BK7" s="223"/>
      <c r="BL7" s="223"/>
      <c r="BM7" s="223"/>
      <c r="BN7" s="223"/>
      <c r="BO7" s="223" t="s">
        <v>53</v>
      </c>
      <c r="BP7" s="223"/>
      <c r="BQ7" s="223"/>
      <c r="BR7" s="223"/>
      <c r="BS7" s="223"/>
    </row>
    <row r="8" spans="1:71" s="21" customFormat="1" ht="29.25" thickBot="1">
      <c r="A8" s="87">
        <f>ROW()</f>
        <v>8</v>
      </c>
      <c r="B8" s="204"/>
      <c r="C8" s="204"/>
      <c r="D8" s="204"/>
      <c r="E8" s="204"/>
      <c r="F8" s="204"/>
      <c r="G8" s="204"/>
      <c r="H8" s="204"/>
      <c r="I8" s="204"/>
      <c r="J8" s="204"/>
      <c r="K8" s="215"/>
      <c r="L8" s="215"/>
      <c r="M8" s="204"/>
      <c r="N8" s="204"/>
      <c r="O8" s="14" t="s">
        <v>54</v>
      </c>
      <c r="P8" s="15" t="s">
        <v>55</v>
      </c>
      <c r="Q8" s="14" t="s">
        <v>54</v>
      </c>
      <c r="R8" s="15" t="s">
        <v>55</v>
      </c>
      <c r="S8" s="261"/>
      <c r="T8" s="236"/>
      <c r="U8" s="261"/>
      <c r="V8" s="236"/>
      <c r="W8" s="236"/>
      <c r="X8" s="16" t="s">
        <v>54</v>
      </c>
      <c r="Y8" s="17" t="s">
        <v>55</v>
      </c>
      <c r="Z8" s="16" t="s">
        <v>54</v>
      </c>
      <c r="AA8" s="17" t="s">
        <v>55</v>
      </c>
      <c r="AB8" s="227"/>
      <c r="AC8" s="208"/>
      <c r="AD8" s="18" t="s">
        <v>56</v>
      </c>
      <c r="AE8" s="18" t="s">
        <v>57</v>
      </c>
      <c r="AF8" s="18" t="s">
        <v>58</v>
      </c>
      <c r="AG8" s="237" t="s">
        <v>59</v>
      </c>
      <c r="AH8" s="238"/>
      <c r="AI8" s="114" t="s">
        <v>60</v>
      </c>
      <c r="AJ8" s="114" t="s">
        <v>66</v>
      </c>
      <c r="AK8" s="114" t="s">
        <v>67</v>
      </c>
      <c r="AL8" s="114" t="s">
        <v>68</v>
      </c>
      <c r="AM8" s="114" t="s">
        <v>40</v>
      </c>
      <c r="AN8" s="19" t="s">
        <v>54</v>
      </c>
      <c r="AO8" s="20" t="s">
        <v>55</v>
      </c>
      <c r="AP8" s="19" t="s">
        <v>54</v>
      </c>
      <c r="AQ8" s="20" t="s">
        <v>55</v>
      </c>
      <c r="AR8" s="206"/>
      <c r="AS8" s="231"/>
      <c r="AT8" s="115" t="s">
        <v>69</v>
      </c>
      <c r="AU8" s="115" t="s">
        <v>70</v>
      </c>
      <c r="AV8" s="115" t="s">
        <v>71</v>
      </c>
      <c r="AW8" s="252" t="s">
        <v>59</v>
      </c>
      <c r="AX8" s="253"/>
      <c r="AY8" s="115" t="s">
        <v>60</v>
      </c>
      <c r="AZ8" s="115" t="s">
        <v>66</v>
      </c>
      <c r="BA8" s="115" t="s">
        <v>67</v>
      </c>
      <c r="BB8" s="115" t="s">
        <v>68</v>
      </c>
      <c r="BC8" s="115" t="s">
        <v>40</v>
      </c>
      <c r="BE8" s="100" t="s">
        <v>8</v>
      </c>
      <c r="BF8" s="100" t="s">
        <v>9</v>
      </c>
      <c r="BG8" s="100" t="s">
        <v>10</v>
      </c>
      <c r="BH8" s="100" t="s">
        <v>11</v>
      </c>
      <c r="BI8" s="100" t="s">
        <v>12</v>
      </c>
      <c r="BJ8" s="100" t="s">
        <v>8</v>
      </c>
      <c r="BK8" s="100" t="s">
        <v>9</v>
      </c>
      <c r="BL8" s="100" t="s">
        <v>10</v>
      </c>
      <c r="BM8" s="100" t="s">
        <v>11</v>
      </c>
      <c r="BN8" s="100" t="s">
        <v>12</v>
      </c>
      <c r="BO8" s="100" t="s">
        <v>8</v>
      </c>
      <c r="BP8" s="100" t="s">
        <v>9</v>
      </c>
      <c r="BQ8" s="100" t="s">
        <v>10</v>
      </c>
      <c r="BR8" s="100" t="s">
        <v>11</v>
      </c>
      <c r="BS8" s="100" t="s">
        <v>12</v>
      </c>
    </row>
    <row r="9" spans="1:71" s="84" customFormat="1" ht="24.75" thickTop="1">
      <c r="A9" s="82"/>
      <c r="B9" s="29">
        <v>1</v>
      </c>
      <c r="C9" s="79" t="s">
        <v>96</v>
      </c>
      <c r="D9" s="79" t="s">
        <v>97</v>
      </c>
      <c r="E9" s="79" t="s">
        <v>98</v>
      </c>
      <c r="F9" s="80" t="s">
        <v>99</v>
      </c>
      <c r="G9" s="30" t="s">
        <v>73</v>
      </c>
      <c r="H9" s="30" t="s">
        <v>100</v>
      </c>
      <c r="I9" s="30" t="s">
        <v>74</v>
      </c>
      <c r="J9" s="158"/>
      <c r="K9" s="39">
        <v>0.2</v>
      </c>
      <c r="L9" s="95">
        <v>0.2</v>
      </c>
      <c r="M9" s="30" t="s">
        <v>101</v>
      </c>
      <c r="N9" s="159" t="s">
        <v>102</v>
      </c>
      <c r="O9" s="53"/>
      <c r="P9" s="54"/>
      <c r="Q9" s="54"/>
      <c r="R9" s="54"/>
      <c r="S9" s="55"/>
      <c r="T9" s="56"/>
      <c r="U9" s="57"/>
      <c r="V9" s="54"/>
      <c r="W9" s="81"/>
      <c r="X9" s="51">
        <v>44425</v>
      </c>
      <c r="Y9" s="52">
        <v>44425</v>
      </c>
      <c r="Z9" s="105">
        <v>44425</v>
      </c>
      <c r="AA9" s="105">
        <v>44425</v>
      </c>
      <c r="AB9" s="155" t="s">
        <v>103</v>
      </c>
      <c r="AC9" s="48">
        <v>0.5</v>
      </c>
      <c r="AD9" s="83">
        <f>IF($F9="","",IF($J9="取消","",IF($K9="","",ROUNDUP($K9*AD$3,0))))</f>
        <v>19</v>
      </c>
      <c r="AE9" s="83">
        <f>IF($F9="","",IF($J9="取消","",IF($K9="","",ROUNDUP($K9*AE$3,0))))</f>
        <v>22</v>
      </c>
      <c r="AF9" s="108">
        <v>15</v>
      </c>
      <c r="AG9" s="90" t="s">
        <v>104</v>
      </c>
      <c r="AH9" s="122">
        <f t="shared" ref="AH9:AH23" si="0">IF(AG9="","",VLOOKUP(AG9,$AG$26:$AI$35,3,FALSE))</f>
        <v>1</v>
      </c>
      <c r="AI9" s="116">
        <v>1</v>
      </c>
      <c r="AJ9" s="137" t="str">
        <f>IF($AI9=1,IF($AF9&lt;$AD9,"過少","良好"),"")</f>
        <v>過少</v>
      </c>
      <c r="AK9" s="160" t="s">
        <v>105</v>
      </c>
      <c r="AL9" s="105">
        <v>44428</v>
      </c>
      <c r="AM9" s="161" t="s">
        <v>106</v>
      </c>
      <c r="AN9" s="76">
        <v>44427</v>
      </c>
      <c r="AO9" s="52">
        <v>44429</v>
      </c>
      <c r="AP9" s="105">
        <v>44425</v>
      </c>
      <c r="AQ9" s="105">
        <v>44425</v>
      </c>
      <c r="AR9" s="155" t="s">
        <v>97</v>
      </c>
      <c r="AS9" s="48">
        <v>1.4</v>
      </c>
      <c r="AT9" s="83">
        <f>IF($F9="","",IF($J9="取消","",IF($K9="","",ROUNDUP($K9*AT$3,0))))</f>
        <v>3</v>
      </c>
      <c r="AU9" s="83">
        <f>IF($F9="","",IF($J9="取消","",IF($K9="","",ROUNDUP($K9*AU$3,0))))</f>
        <v>3</v>
      </c>
      <c r="AV9" s="108">
        <v>2</v>
      </c>
      <c r="AW9" s="90" t="s">
        <v>104</v>
      </c>
      <c r="AX9" s="122">
        <f t="shared" ref="AX9:AX23" si="1">IF(AW9="","",VLOOKUP(AW9,$AW$26:$AY$35,3,FALSE))</f>
        <v>1</v>
      </c>
      <c r="AY9" s="116">
        <v>1</v>
      </c>
      <c r="AZ9" s="137" t="str">
        <f>IF($AY9=1,IF($AV9&lt;$AT9,"過少",IF($AV9&gt;$AU9,"超過","良好")),"")</f>
        <v>過少</v>
      </c>
      <c r="BA9" s="160" t="s">
        <v>105</v>
      </c>
      <c r="BB9" s="105">
        <v>44428</v>
      </c>
      <c r="BC9" s="162" t="s">
        <v>106</v>
      </c>
      <c r="BE9" s="142">
        <f t="shared" ref="BE9:BE23" si="2">IF($BI9="","",$BI9*$BE$4)</f>
        <v>11.4</v>
      </c>
      <c r="BF9" s="140">
        <f t="shared" ref="BF9:BF23" si="3">IF($BI9="","",$BI9*$BF$4)</f>
        <v>3.8000000000000003</v>
      </c>
      <c r="BG9" s="140">
        <f t="shared" ref="BG9:BG23" si="4">IF($BI9="","",$BI9*$BG$4)</f>
        <v>2.85</v>
      </c>
      <c r="BH9" s="140">
        <f t="shared" ref="BH9:BH23" si="5">IF($BI9="","",$BI9*$BH$4)</f>
        <v>0.95000000000000007</v>
      </c>
      <c r="BI9" s="141">
        <f>IF($F9="","",IF($J9="取消","",IF($K9="","",ROUNDUP($K9*$AD$3,0))))</f>
        <v>19</v>
      </c>
      <c r="BJ9" s="142">
        <f>IF($BN9="","",$BN9*$BE$4)</f>
        <v>11.4</v>
      </c>
      <c r="BK9" s="140">
        <f>IF($BN9="","",$BN9*$BF$4)</f>
        <v>3.8000000000000003</v>
      </c>
      <c r="BL9" s="140">
        <f>IF($BN9="","",$BN9*$BG$4)</f>
        <v>2.85</v>
      </c>
      <c r="BM9" s="140">
        <f>IF($BN9="","",$BN9*$BH$4)</f>
        <v>0.95000000000000007</v>
      </c>
      <c r="BN9" s="141">
        <f>IF($F9="","",IF($J9="取消","",IF($L9="","",ROUNDUP($L9*$AD$3,0))))</f>
        <v>19</v>
      </c>
      <c r="BO9" s="143">
        <v>4</v>
      </c>
      <c r="BP9" s="144">
        <v>3</v>
      </c>
      <c r="BQ9" s="144">
        <v>2</v>
      </c>
      <c r="BR9" s="144">
        <v>1</v>
      </c>
      <c r="BS9" s="141">
        <f>IF(SUM(BO9:BR9)=0,"",SUM(BO9:BR9))</f>
        <v>10</v>
      </c>
    </row>
    <row r="10" spans="1:71" s="84" customFormat="1">
      <c r="A10" s="82"/>
      <c r="B10" s="31">
        <v>2</v>
      </c>
      <c r="C10" s="32" t="s">
        <v>96</v>
      </c>
      <c r="D10" s="32" t="s">
        <v>97</v>
      </c>
      <c r="E10" s="32" t="s">
        <v>107</v>
      </c>
      <c r="F10" s="37" t="s">
        <v>108</v>
      </c>
      <c r="G10" s="33" t="s">
        <v>73</v>
      </c>
      <c r="H10" s="33" t="s">
        <v>100</v>
      </c>
      <c r="I10" s="33" t="s">
        <v>109</v>
      </c>
      <c r="J10" s="40"/>
      <c r="K10" s="41">
        <v>0.2</v>
      </c>
      <c r="L10" s="96">
        <v>0.3</v>
      </c>
      <c r="M10" s="33" t="s">
        <v>101</v>
      </c>
      <c r="N10" s="103" t="s">
        <v>110</v>
      </c>
      <c r="O10" s="58"/>
      <c r="P10" s="59"/>
      <c r="Q10" s="59"/>
      <c r="R10" s="59"/>
      <c r="S10" s="60"/>
      <c r="T10" s="61"/>
      <c r="U10" s="62"/>
      <c r="V10" s="59"/>
      <c r="W10" s="63"/>
      <c r="X10" s="44">
        <v>44425</v>
      </c>
      <c r="Y10" s="45">
        <v>44425</v>
      </c>
      <c r="Z10" s="106">
        <v>44425</v>
      </c>
      <c r="AA10" s="106">
        <v>44425</v>
      </c>
      <c r="AB10" s="156" t="s">
        <v>111</v>
      </c>
      <c r="AC10" s="49">
        <v>0.5</v>
      </c>
      <c r="AD10" s="85">
        <f t="shared" ref="AD10:AE12" si="6">IF($F10="","",IF($J10="取消","",IF($K10="","",ROUNDUP($K10*AD$3,0))))</f>
        <v>19</v>
      </c>
      <c r="AE10" s="85">
        <f t="shared" si="6"/>
        <v>22</v>
      </c>
      <c r="AF10" s="109">
        <v>16</v>
      </c>
      <c r="AG10" s="88" t="s">
        <v>104</v>
      </c>
      <c r="AH10" s="123">
        <f t="shared" si="0"/>
        <v>1</v>
      </c>
      <c r="AI10" s="117">
        <v>1</v>
      </c>
      <c r="AJ10" s="138" t="str">
        <f t="shared" ref="AJ10:AJ23" si="7">IF($AI10=1,IF($AF10&lt;$AD10,"過少","良好"),"")</f>
        <v>過少</v>
      </c>
      <c r="AK10" s="92"/>
      <c r="AL10" s="106"/>
      <c r="AM10" s="111"/>
      <c r="AN10" s="77">
        <v>44427</v>
      </c>
      <c r="AO10" s="45">
        <v>44429</v>
      </c>
      <c r="AP10" s="106">
        <v>44425</v>
      </c>
      <c r="AQ10" s="106">
        <v>44425</v>
      </c>
      <c r="AR10" s="156" t="s">
        <v>97</v>
      </c>
      <c r="AS10" s="49">
        <v>1.4</v>
      </c>
      <c r="AT10" s="85">
        <f t="shared" ref="AT10:AU23" si="8">IF($F10="","",IF($J10="取消","",IF($K10="","",ROUNDUP($K10*AT$3,0))))</f>
        <v>3</v>
      </c>
      <c r="AU10" s="85">
        <f t="shared" si="8"/>
        <v>3</v>
      </c>
      <c r="AV10" s="109">
        <v>16</v>
      </c>
      <c r="AW10" s="88" t="s">
        <v>104</v>
      </c>
      <c r="AX10" s="123">
        <f t="shared" si="1"/>
        <v>1</v>
      </c>
      <c r="AY10" s="117">
        <v>1</v>
      </c>
      <c r="AZ10" s="138" t="str">
        <f>IF($AY10=1,IF($AV10&lt;$AT10,"過少",IF($AV10&gt;$AU10,"超過","良好")),"")</f>
        <v>超過</v>
      </c>
      <c r="BA10" s="92"/>
      <c r="BB10" s="106"/>
      <c r="BC10" s="119"/>
      <c r="BE10" s="147">
        <f t="shared" si="2"/>
        <v>11.4</v>
      </c>
      <c r="BF10" s="145">
        <f t="shared" si="3"/>
        <v>3.8000000000000003</v>
      </c>
      <c r="BG10" s="145">
        <f t="shared" si="4"/>
        <v>2.85</v>
      </c>
      <c r="BH10" s="145">
        <f t="shared" si="5"/>
        <v>0.95000000000000007</v>
      </c>
      <c r="BI10" s="146">
        <f t="shared" ref="BI10:BI23" si="9">IF($F10="","",IF($J10="取消","",IF($K10="","",ROUNDUP($K10*$AD$3,0))))</f>
        <v>19</v>
      </c>
      <c r="BJ10" s="147">
        <f t="shared" ref="BJ10:BJ23" si="10">IF($BN10="","",$BN10*$BE$4)</f>
        <v>17.399999999999999</v>
      </c>
      <c r="BK10" s="145">
        <f t="shared" ref="BK10:BK23" si="11">IF($BN10="","",$BN10*$BF$4)</f>
        <v>5.8000000000000007</v>
      </c>
      <c r="BL10" s="145">
        <f t="shared" ref="BL10:BL23" si="12">IF($BN10="","",$BN10*$BG$4)</f>
        <v>4.3499999999999996</v>
      </c>
      <c r="BM10" s="145">
        <f t="shared" ref="BM10:BM23" si="13">IF($BN10="","",$BN10*$BH$4)</f>
        <v>1.4500000000000002</v>
      </c>
      <c r="BN10" s="146">
        <f t="shared" ref="BN10:BN23" si="14">IF($L10="","",ROUNDUP($L10*$AD$3,0))</f>
        <v>29</v>
      </c>
      <c r="BO10" s="148">
        <v>6</v>
      </c>
      <c r="BP10" s="149">
        <v>5</v>
      </c>
      <c r="BQ10" s="149">
        <v>4</v>
      </c>
      <c r="BR10" s="149">
        <v>3</v>
      </c>
      <c r="BS10" s="146">
        <f t="shared" ref="BS10:BS23" si="15">IF(SUM(BO10:BR10)=0,"",SUM(BO10:BR10))</f>
        <v>18</v>
      </c>
    </row>
    <row r="11" spans="1:71" s="84" customFormat="1">
      <c r="A11" s="82"/>
      <c r="B11" s="31">
        <v>3</v>
      </c>
      <c r="C11" s="32" t="s">
        <v>96</v>
      </c>
      <c r="D11" s="32" t="s">
        <v>97</v>
      </c>
      <c r="E11" s="32" t="s">
        <v>112</v>
      </c>
      <c r="F11" s="37" t="s">
        <v>113</v>
      </c>
      <c r="G11" s="33" t="s">
        <v>73</v>
      </c>
      <c r="H11" s="33" t="s">
        <v>100</v>
      </c>
      <c r="I11" s="33" t="s">
        <v>109</v>
      </c>
      <c r="J11" s="40"/>
      <c r="K11" s="41">
        <v>1.5</v>
      </c>
      <c r="L11" s="96">
        <v>1.5</v>
      </c>
      <c r="M11" s="33" t="s">
        <v>114</v>
      </c>
      <c r="N11" s="103" t="s">
        <v>110</v>
      </c>
      <c r="O11" s="58"/>
      <c r="P11" s="59"/>
      <c r="Q11" s="59"/>
      <c r="R11" s="59"/>
      <c r="S11" s="60"/>
      <c r="T11" s="61"/>
      <c r="U11" s="62"/>
      <c r="V11" s="59"/>
      <c r="W11" s="63"/>
      <c r="X11" s="44">
        <v>44426</v>
      </c>
      <c r="Y11" s="45">
        <v>44435</v>
      </c>
      <c r="Z11" s="106">
        <v>44426</v>
      </c>
      <c r="AA11" s="106">
        <v>44429</v>
      </c>
      <c r="AB11" s="156" t="s">
        <v>103</v>
      </c>
      <c r="AC11" s="49">
        <v>4</v>
      </c>
      <c r="AD11" s="85">
        <f t="shared" si="6"/>
        <v>143</v>
      </c>
      <c r="AE11" s="85">
        <f t="shared" si="6"/>
        <v>165</v>
      </c>
      <c r="AF11" s="109">
        <v>150</v>
      </c>
      <c r="AG11" s="88" t="s">
        <v>104</v>
      </c>
      <c r="AH11" s="123">
        <f t="shared" si="0"/>
        <v>1</v>
      </c>
      <c r="AI11" s="117">
        <v>1</v>
      </c>
      <c r="AJ11" s="138" t="str">
        <f t="shared" si="7"/>
        <v>良好</v>
      </c>
      <c r="AK11" s="92"/>
      <c r="AL11" s="106"/>
      <c r="AM11" s="111"/>
      <c r="AN11" s="77">
        <v>44440</v>
      </c>
      <c r="AO11" s="45">
        <v>44449</v>
      </c>
      <c r="AP11" s="106">
        <v>44433</v>
      </c>
      <c r="AQ11" s="106">
        <v>44442</v>
      </c>
      <c r="AR11" s="156" t="s">
        <v>97</v>
      </c>
      <c r="AS11" s="49">
        <v>7</v>
      </c>
      <c r="AT11" s="85">
        <f t="shared" si="8"/>
        <v>17</v>
      </c>
      <c r="AU11" s="85">
        <f t="shared" si="8"/>
        <v>23</v>
      </c>
      <c r="AV11" s="109">
        <v>15</v>
      </c>
      <c r="AW11" s="88" t="s">
        <v>104</v>
      </c>
      <c r="AX11" s="123">
        <f t="shared" si="1"/>
        <v>1</v>
      </c>
      <c r="AY11" s="117">
        <v>1</v>
      </c>
      <c r="AZ11" s="138" t="str">
        <f t="shared" ref="AZ11:AZ23" si="16">IF(AY11=1,IF(AV11&lt;AT11,"過少","良好"),"")</f>
        <v>過少</v>
      </c>
      <c r="BA11" s="92"/>
      <c r="BB11" s="106"/>
      <c r="BC11" s="119"/>
      <c r="BE11" s="147">
        <f t="shared" si="2"/>
        <v>85.8</v>
      </c>
      <c r="BF11" s="145">
        <f t="shared" si="3"/>
        <v>28.6</v>
      </c>
      <c r="BG11" s="145">
        <f t="shared" si="4"/>
        <v>21.45</v>
      </c>
      <c r="BH11" s="145">
        <f t="shared" si="5"/>
        <v>7.15</v>
      </c>
      <c r="BI11" s="146">
        <f t="shared" si="9"/>
        <v>143</v>
      </c>
      <c r="BJ11" s="147">
        <f t="shared" si="10"/>
        <v>85.8</v>
      </c>
      <c r="BK11" s="145">
        <f t="shared" si="11"/>
        <v>28.6</v>
      </c>
      <c r="BL11" s="145">
        <f t="shared" si="12"/>
        <v>21.45</v>
      </c>
      <c r="BM11" s="145">
        <f t="shared" si="13"/>
        <v>7.15</v>
      </c>
      <c r="BN11" s="146">
        <f t="shared" si="14"/>
        <v>143</v>
      </c>
      <c r="BO11" s="148">
        <v>8</v>
      </c>
      <c r="BP11" s="149">
        <v>7</v>
      </c>
      <c r="BQ11" s="149">
        <v>6</v>
      </c>
      <c r="BR11" s="149">
        <v>5</v>
      </c>
      <c r="BS11" s="146">
        <f t="shared" si="15"/>
        <v>26</v>
      </c>
    </row>
    <row r="12" spans="1:71" s="84" customFormat="1">
      <c r="A12" s="82"/>
      <c r="B12" s="31">
        <v>4</v>
      </c>
      <c r="C12" s="32" t="s">
        <v>96</v>
      </c>
      <c r="D12" s="32" t="s">
        <v>97</v>
      </c>
      <c r="E12" s="32" t="s">
        <v>115</v>
      </c>
      <c r="F12" s="37" t="s">
        <v>116</v>
      </c>
      <c r="G12" s="33" t="s">
        <v>73</v>
      </c>
      <c r="H12" s="33" t="s">
        <v>100</v>
      </c>
      <c r="I12" s="33" t="s">
        <v>109</v>
      </c>
      <c r="J12" s="40"/>
      <c r="K12" s="41">
        <v>1.5</v>
      </c>
      <c r="L12" s="96">
        <v>1.5</v>
      </c>
      <c r="M12" s="33" t="s">
        <v>114</v>
      </c>
      <c r="N12" s="103"/>
      <c r="O12" s="58"/>
      <c r="P12" s="59"/>
      <c r="Q12" s="59"/>
      <c r="R12" s="59"/>
      <c r="S12" s="60"/>
      <c r="T12" s="61"/>
      <c r="U12" s="62"/>
      <c r="V12" s="59"/>
      <c r="W12" s="63"/>
      <c r="X12" s="44">
        <v>44426</v>
      </c>
      <c r="Y12" s="45">
        <v>44435</v>
      </c>
      <c r="Z12" s="106">
        <v>44430</v>
      </c>
      <c r="AA12" s="106">
        <v>44435</v>
      </c>
      <c r="AB12" s="156" t="s">
        <v>111</v>
      </c>
      <c r="AC12" s="49">
        <v>4</v>
      </c>
      <c r="AD12" s="85">
        <f t="shared" si="6"/>
        <v>143</v>
      </c>
      <c r="AE12" s="85">
        <f t="shared" si="6"/>
        <v>165</v>
      </c>
      <c r="AF12" s="109">
        <v>170</v>
      </c>
      <c r="AG12" s="88" t="s">
        <v>104</v>
      </c>
      <c r="AH12" s="123">
        <f t="shared" si="0"/>
        <v>1</v>
      </c>
      <c r="AI12" s="117">
        <v>1</v>
      </c>
      <c r="AJ12" s="138" t="str">
        <f t="shared" si="7"/>
        <v>良好</v>
      </c>
      <c r="AK12" s="92"/>
      <c r="AL12" s="106"/>
      <c r="AM12" s="111"/>
      <c r="AN12" s="77">
        <v>44440</v>
      </c>
      <c r="AO12" s="45">
        <v>44449</v>
      </c>
      <c r="AP12" s="106"/>
      <c r="AQ12" s="106"/>
      <c r="AR12" s="156" t="s">
        <v>97</v>
      </c>
      <c r="AS12" s="49">
        <v>7</v>
      </c>
      <c r="AT12" s="85">
        <f t="shared" si="8"/>
        <v>17</v>
      </c>
      <c r="AU12" s="85">
        <f t="shared" si="8"/>
        <v>23</v>
      </c>
      <c r="AV12" s="109"/>
      <c r="AW12" s="88" t="s">
        <v>88</v>
      </c>
      <c r="AX12" s="123">
        <f t="shared" si="1"/>
        <v>0</v>
      </c>
      <c r="AY12" s="117">
        <v>0</v>
      </c>
      <c r="AZ12" s="138" t="str">
        <f t="shared" si="16"/>
        <v/>
      </c>
      <c r="BA12" s="92"/>
      <c r="BB12" s="106"/>
      <c r="BC12" s="119"/>
      <c r="BE12" s="147">
        <f t="shared" si="2"/>
        <v>85.8</v>
      </c>
      <c r="BF12" s="145">
        <f t="shared" si="3"/>
        <v>28.6</v>
      </c>
      <c r="BG12" s="145">
        <f t="shared" si="4"/>
        <v>21.45</v>
      </c>
      <c r="BH12" s="145">
        <f t="shared" si="5"/>
        <v>7.15</v>
      </c>
      <c r="BI12" s="146">
        <f t="shared" si="9"/>
        <v>143</v>
      </c>
      <c r="BJ12" s="147">
        <f t="shared" si="10"/>
        <v>85.8</v>
      </c>
      <c r="BK12" s="145">
        <f t="shared" si="11"/>
        <v>28.6</v>
      </c>
      <c r="BL12" s="145">
        <f t="shared" si="12"/>
        <v>21.45</v>
      </c>
      <c r="BM12" s="145">
        <f t="shared" si="13"/>
        <v>7.15</v>
      </c>
      <c r="BN12" s="146">
        <f t="shared" si="14"/>
        <v>143</v>
      </c>
      <c r="BO12" s="148"/>
      <c r="BP12" s="149"/>
      <c r="BQ12" s="149"/>
      <c r="BR12" s="149"/>
      <c r="BS12" s="146" t="str">
        <f t="shared" si="15"/>
        <v/>
      </c>
    </row>
    <row r="13" spans="1:71" s="84" customFormat="1">
      <c r="A13" s="82"/>
      <c r="B13" s="31">
        <v>5</v>
      </c>
      <c r="C13" s="32" t="s">
        <v>96</v>
      </c>
      <c r="D13" s="32" t="s">
        <v>97</v>
      </c>
      <c r="E13" s="32" t="s">
        <v>117</v>
      </c>
      <c r="F13" s="37" t="s">
        <v>118</v>
      </c>
      <c r="G13" s="33" t="s">
        <v>73</v>
      </c>
      <c r="H13" s="33" t="s">
        <v>100</v>
      </c>
      <c r="I13" s="33" t="s">
        <v>109</v>
      </c>
      <c r="J13" s="40" t="s">
        <v>84</v>
      </c>
      <c r="K13" s="41">
        <v>0.8</v>
      </c>
      <c r="L13" s="96">
        <v>0.8</v>
      </c>
      <c r="M13" s="33" t="s">
        <v>119</v>
      </c>
      <c r="N13" s="103"/>
      <c r="O13" s="58"/>
      <c r="P13" s="59"/>
      <c r="Q13" s="59"/>
      <c r="R13" s="59"/>
      <c r="S13" s="60"/>
      <c r="T13" s="61"/>
      <c r="U13" s="62"/>
      <c r="V13" s="59"/>
      <c r="W13" s="63"/>
      <c r="X13" s="44">
        <v>44437</v>
      </c>
      <c r="Y13" s="45">
        <v>44438</v>
      </c>
      <c r="Z13" s="106">
        <v>44437</v>
      </c>
      <c r="AA13" s="106"/>
      <c r="AB13" s="156" t="s">
        <v>103</v>
      </c>
      <c r="AC13" s="49">
        <v>2</v>
      </c>
      <c r="AD13" s="85">
        <f>IF($F13="","",IF($J13="取消","",IF($K13="","",ROUNDUP($K13*AD$3,0))))</f>
        <v>76</v>
      </c>
      <c r="AE13" s="85">
        <f>IF($F13="","",IF($J13="取消","",IF($K13="","",ROUNDUP($K13*AE$3,0))))</f>
        <v>88</v>
      </c>
      <c r="AF13" s="109"/>
      <c r="AG13" s="88" t="s">
        <v>120</v>
      </c>
      <c r="AH13" s="123">
        <f t="shared" si="0"/>
        <v>0.2</v>
      </c>
      <c r="AI13" s="117">
        <v>0.2</v>
      </c>
      <c r="AJ13" s="138" t="str">
        <f t="shared" si="7"/>
        <v/>
      </c>
      <c r="AK13" s="92"/>
      <c r="AL13" s="106"/>
      <c r="AM13" s="111"/>
      <c r="AN13" s="77">
        <v>44450</v>
      </c>
      <c r="AO13" s="45">
        <v>44454</v>
      </c>
      <c r="AP13" s="106"/>
      <c r="AQ13" s="106"/>
      <c r="AR13" s="156" t="s">
        <v>97</v>
      </c>
      <c r="AS13" s="49">
        <v>4.2</v>
      </c>
      <c r="AT13" s="85">
        <f t="shared" si="8"/>
        <v>9</v>
      </c>
      <c r="AU13" s="85">
        <f t="shared" si="8"/>
        <v>12</v>
      </c>
      <c r="AV13" s="109"/>
      <c r="AW13" s="88" t="s">
        <v>88</v>
      </c>
      <c r="AX13" s="123">
        <f t="shared" si="1"/>
        <v>0</v>
      </c>
      <c r="AY13" s="117">
        <v>0</v>
      </c>
      <c r="AZ13" s="138" t="str">
        <f t="shared" si="16"/>
        <v/>
      </c>
      <c r="BA13" s="92"/>
      <c r="BB13" s="106"/>
      <c r="BC13" s="119"/>
      <c r="BE13" s="147">
        <f t="shared" si="2"/>
        <v>45.6</v>
      </c>
      <c r="BF13" s="145">
        <f t="shared" si="3"/>
        <v>15.200000000000001</v>
      </c>
      <c r="BG13" s="145">
        <f t="shared" si="4"/>
        <v>11.4</v>
      </c>
      <c r="BH13" s="145">
        <f t="shared" si="5"/>
        <v>3.8000000000000003</v>
      </c>
      <c r="BI13" s="146">
        <f t="shared" si="9"/>
        <v>76</v>
      </c>
      <c r="BJ13" s="147">
        <f t="shared" si="10"/>
        <v>45.6</v>
      </c>
      <c r="BK13" s="145">
        <f t="shared" si="11"/>
        <v>15.200000000000001</v>
      </c>
      <c r="BL13" s="145">
        <f t="shared" si="12"/>
        <v>11.4</v>
      </c>
      <c r="BM13" s="145">
        <f t="shared" si="13"/>
        <v>3.8000000000000003</v>
      </c>
      <c r="BN13" s="146">
        <f t="shared" si="14"/>
        <v>76</v>
      </c>
      <c r="BO13" s="148"/>
      <c r="BP13" s="149"/>
      <c r="BQ13" s="149"/>
      <c r="BR13" s="149"/>
      <c r="BS13" s="146" t="str">
        <f t="shared" si="15"/>
        <v/>
      </c>
    </row>
    <row r="14" spans="1:71" s="84" customFormat="1">
      <c r="A14" s="82"/>
      <c r="B14" s="31">
        <v>6</v>
      </c>
      <c r="C14" s="32" t="s">
        <v>96</v>
      </c>
      <c r="D14" s="32" t="s">
        <v>97</v>
      </c>
      <c r="E14" s="32" t="s">
        <v>121</v>
      </c>
      <c r="F14" s="37" t="s">
        <v>122</v>
      </c>
      <c r="G14" s="33" t="s">
        <v>73</v>
      </c>
      <c r="H14" s="33" t="s">
        <v>100</v>
      </c>
      <c r="I14" s="33" t="s">
        <v>109</v>
      </c>
      <c r="J14" s="40"/>
      <c r="K14" s="41">
        <v>0.7</v>
      </c>
      <c r="L14" s="96">
        <v>0.7</v>
      </c>
      <c r="M14" s="33" t="s">
        <v>119</v>
      </c>
      <c r="N14" s="103"/>
      <c r="O14" s="58"/>
      <c r="P14" s="59"/>
      <c r="Q14" s="59"/>
      <c r="R14" s="59"/>
      <c r="S14" s="60"/>
      <c r="T14" s="61"/>
      <c r="U14" s="62"/>
      <c r="V14" s="59"/>
      <c r="W14" s="63"/>
      <c r="X14" s="44">
        <v>44437</v>
      </c>
      <c r="Y14" s="45">
        <v>44438</v>
      </c>
      <c r="Z14" s="106"/>
      <c r="AA14" s="106"/>
      <c r="AB14" s="156" t="s">
        <v>111</v>
      </c>
      <c r="AC14" s="49">
        <v>1.9</v>
      </c>
      <c r="AD14" s="85">
        <f t="shared" ref="AD14:AE23" si="17">IF($F14="","",IF($J14="取消","",IF($K14="","",ROUNDUP($K14*AD$3,0))))</f>
        <v>67</v>
      </c>
      <c r="AE14" s="85">
        <f t="shared" si="17"/>
        <v>77</v>
      </c>
      <c r="AF14" s="109"/>
      <c r="AG14" s="88" t="s">
        <v>88</v>
      </c>
      <c r="AH14" s="123">
        <f t="shared" si="0"/>
        <v>0</v>
      </c>
      <c r="AI14" s="117">
        <v>0</v>
      </c>
      <c r="AJ14" s="138" t="str">
        <f t="shared" si="7"/>
        <v/>
      </c>
      <c r="AK14" s="92"/>
      <c r="AL14" s="106"/>
      <c r="AM14" s="111"/>
      <c r="AN14" s="77">
        <v>44450</v>
      </c>
      <c r="AO14" s="45">
        <v>44454</v>
      </c>
      <c r="AP14" s="106"/>
      <c r="AQ14" s="106"/>
      <c r="AR14" s="156" t="s">
        <v>97</v>
      </c>
      <c r="AS14" s="49">
        <v>4</v>
      </c>
      <c r="AT14" s="85">
        <f t="shared" si="8"/>
        <v>8</v>
      </c>
      <c r="AU14" s="85">
        <f t="shared" si="8"/>
        <v>11</v>
      </c>
      <c r="AV14" s="109"/>
      <c r="AW14" s="88" t="s">
        <v>88</v>
      </c>
      <c r="AX14" s="123">
        <f t="shared" si="1"/>
        <v>0</v>
      </c>
      <c r="AY14" s="117">
        <v>0</v>
      </c>
      <c r="AZ14" s="138" t="str">
        <f t="shared" si="16"/>
        <v/>
      </c>
      <c r="BA14" s="92"/>
      <c r="BB14" s="106"/>
      <c r="BC14" s="119"/>
      <c r="BE14" s="147">
        <f t="shared" si="2"/>
        <v>40.199999999999996</v>
      </c>
      <c r="BF14" s="145">
        <f t="shared" si="3"/>
        <v>13.4</v>
      </c>
      <c r="BG14" s="145">
        <f t="shared" si="4"/>
        <v>10.049999999999999</v>
      </c>
      <c r="BH14" s="145">
        <f t="shared" si="5"/>
        <v>3.35</v>
      </c>
      <c r="BI14" s="146">
        <f t="shared" si="9"/>
        <v>67</v>
      </c>
      <c r="BJ14" s="147">
        <f t="shared" si="10"/>
        <v>40.199999999999996</v>
      </c>
      <c r="BK14" s="145">
        <f t="shared" si="11"/>
        <v>13.4</v>
      </c>
      <c r="BL14" s="145">
        <f t="shared" si="12"/>
        <v>10.049999999999999</v>
      </c>
      <c r="BM14" s="145">
        <f t="shared" si="13"/>
        <v>3.35</v>
      </c>
      <c r="BN14" s="146">
        <f t="shared" si="14"/>
        <v>67</v>
      </c>
      <c r="BO14" s="148"/>
      <c r="BP14" s="149"/>
      <c r="BQ14" s="149"/>
      <c r="BR14" s="149"/>
      <c r="BS14" s="146" t="str">
        <f t="shared" si="15"/>
        <v/>
      </c>
    </row>
    <row r="15" spans="1:71" s="84" customFormat="1">
      <c r="A15" s="82"/>
      <c r="B15" s="31">
        <v>7</v>
      </c>
      <c r="C15" s="32"/>
      <c r="D15" s="32"/>
      <c r="E15" s="32"/>
      <c r="F15" s="37"/>
      <c r="G15" s="33"/>
      <c r="H15" s="33"/>
      <c r="I15" s="33"/>
      <c r="J15" s="40"/>
      <c r="K15" s="41"/>
      <c r="L15" s="96"/>
      <c r="M15" s="33"/>
      <c r="N15" s="103"/>
      <c r="O15" s="58"/>
      <c r="P15" s="59"/>
      <c r="Q15" s="59"/>
      <c r="R15" s="59"/>
      <c r="S15" s="60"/>
      <c r="T15" s="61"/>
      <c r="U15" s="62"/>
      <c r="V15" s="59"/>
      <c r="W15" s="63"/>
      <c r="X15" s="44"/>
      <c r="Y15" s="45"/>
      <c r="Z15" s="106"/>
      <c r="AA15" s="106"/>
      <c r="AB15" s="156"/>
      <c r="AC15" s="49"/>
      <c r="AD15" s="85" t="str">
        <f t="shared" si="17"/>
        <v/>
      </c>
      <c r="AE15" s="85" t="str">
        <f t="shared" si="17"/>
        <v/>
      </c>
      <c r="AF15" s="109"/>
      <c r="AG15" s="88"/>
      <c r="AH15" s="123" t="str">
        <f t="shared" si="0"/>
        <v/>
      </c>
      <c r="AI15" s="117"/>
      <c r="AJ15" s="138" t="str">
        <f t="shared" si="7"/>
        <v/>
      </c>
      <c r="AK15" s="92"/>
      <c r="AL15" s="106"/>
      <c r="AM15" s="111"/>
      <c r="AN15" s="77"/>
      <c r="AO15" s="45"/>
      <c r="AP15" s="106"/>
      <c r="AQ15" s="106"/>
      <c r="AR15" s="156"/>
      <c r="AS15" s="49"/>
      <c r="AT15" s="85" t="str">
        <f t="shared" si="8"/>
        <v/>
      </c>
      <c r="AU15" s="85" t="str">
        <f t="shared" si="8"/>
        <v/>
      </c>
      <c r="AV15" s="109"/>
      <c r="AW15" s="88"/>
      <c r="AX15" s="123" t="str">
        <f t="shared" si="1"/>
        <v/>
      </c>
      <c r="AY15" s="117"/>
      <c r="AZ15" s="138" t="str">
        <f t="shared" si="16"/>
        <v/>
      </c>
      <c r="BA15" s="92"/>
      <c r="BB15" s="106"/>
      <c r="BC15" s="119"/>
      <c r="BE15" s="147" t="str">
        <f t="shared" si="2"/>
        <v/>
      </c>
      <c r="BF15" s="145" t="str">
        <f t="shared" si="3"/>
        <v/>
      </c>
      <c r="BG15" s="145" t="str">
        <f t="shared" si="4"/>
        <v/>
      </c>
      <c r="BH15" s="145" t="str">
        <f t="shared" si="5"/>
        <v/>
      </c>
      <c r="BI15" s="146" t="str">
        <f t="shared" si="9"/>
        <v/>
      </c>
      <c r="BJ15" s="147" t="str">
        <f t="shared" si="10"/>
        <v/>
      </c>
      <c r="BK15" s="145" t="str">
        <f t="shared" si="11"/>
        <v/>
      </c>
      <c r="BL15" s="145" t="str">
        <f t="shared" si="12"/>
        <v/>
      </c>
      <c r="BM15" s="145" t="str">
        <f t="shared" si="13"/>
        <v/>
      </c>
      <c r="BN15" s="146" t="str">
        <f t="shared" si="14"/>
        <v/>
      </c>
      <c r="BO15" s="148"/>
      <c r="BP15" s="149"/>
      <c r="BQ15" s="149"/>
      <c r="BR15" s="149"/>
      <c r="BS15" s="146" t="str">
        <f t="shared" si="15"/>
        <v/>
      </c>
    </row>
    <row r="16" spans="1:71" s="84" customFormat="1">
      <c r="A16" s="82"/>
      <c r="B16" s="31">
        <v>8</v>
      </c>
      <c r="C16" s="32"/>
      <c r="D16" s="32"/>
      <c r="E16" s="32"/>
      <c r="F16" s="37"/>
      <c r="G16" s="33"/>
      <c r="H16" s="33"/>
      <c r="I16" s="33"/>
      <c r="J16" s="40"/>
      <c r="K16" s="41"/>
      <c r="L16" s="96"/>
      <c r="M16" s="33"/>
      <c r="N16" s="103"/>
      <c r="O16" s="58"/>
      <c r="P16" s="59"/>
      <c r="Q16" s="59"/>
      <c r="R16" s="59"/>
      <c r="S16" s="60"/>
      <c r="T16" s="61"/>
      <c r="U16" s="62"/>
      <c r="V16" s="59"/>
      <c r="W16" s="63"/>
      <c r="X16" s="44"/>
      <c r="Y16" s="45"/>
      <c r="Z16" s="106"/>
      <c r="AA16" s="106"/>
      <c r="AB16" s="156"/>
      <c r="AC16" s="49"/>
      <c r="AD16" s="85" t="str">
        <f t="shared" si="17"/>
        <v/>
      </c>
      <c r="AE16" s="85" t="str">
        <f t="shared" si="17"/>
        <v/>
      </c>
      <c r="AF16" s="109"/>
      <c r="AG16" s="88"/>
      <c r="AH16" s="123" t="str">
        <f t="shared" si="0"/>
        <v/>
      </c>
      <c r="AI16" s="117"/>
      <c r="AJ16" s="138" t="str">
        <f t="shared" si="7"/>
        <v/>
      </c>
      <c r="AK16" s="92"/>
      <c r="AL16" s="106"/>
      <c r="AM16" s="111"/>
      <c r="AN16" s="77"/>
      <c r="AO16" s="45"/>
      <c r="AP16" s="106"/>
      <c r="AQ16" s="106"/>
      <c r="AR16" s="156"/>
      <c r="AS16" s="49"/>
      <c r="AT16" s="85" t="str">
        <f t="shared" si="8"/>
        <v/>
      </c>
      <c r="AU16" s="85" t="str">
        <f t="shared" si="8"/>
        <v/>
      </c>
      <c r="AV16" s="109"/>
      <c r="AW16" s="88"/>
      <c r="AX16" s="123" t="str">
        <f t="shared" si="1"/>
        <v/>
      </c>
      <c r="AY16" s="117"/>
      <c r="AZ16" s="138" t="str">
        <f t="shared" si="16"/>
        <v/>
      </c>
      <c r="BA16" s="92"/>
      <c r="BB16" s="106"/>
      <c r="BC16" s="119"/>
      <c r="BE16" s="147" t="str">
        <f t="shared" si="2"/>
        <v/>
      </c>
      <c r="BF16" s="145" t="str">
        <f t="shared" si="3"/>
        <v/>
      </c>
      <c r="BG16" s="145" t="str">
        <f t="shared" si="4"/>
        <v/>
      </c>
      <c r="BH16" s="145" t="str">
        <f t="shared" si="5"/>
        <v/>
      </c>
      <c r="BI16" s="146" t="str">
        <f t="shared" si="9"/>
        <v/>
      </c>
      <c r="BJ16" s="147" t="str">
        <f t="shared" si="10"/>
        <v/>
      </c>
      <c r="BK16" s="145" t="str">
        <f t="shared" si="11"/>
        <v/>
      </c>
      <c r="BL16" s="145" t="str">
        <f t="shared" si="12"/>
        <v/>
      </c>
      <c r="BM16" s="145" t="str">
        <f t="shared" si="13"/>
        <v/>
      </c>
      <c r="BN16" s="146" t="str">
        <f t="shared" si="14"/>
        <v/>
      </c>
      <c r="BO16" s="148"/>
      <c r="BP16" s="149"/>
      <c r="BQ16" s="149"/>
      <c r="BR16" s="149"/>
      <c r="BS16" s="146" t="str">
        <f t="shared" si="15"/>
        <v/>
      </c>
    </row>
    <row r="17" spans="1:71" s="84" customFormat="1">
      <c r="A17" s="82"/>
      <c r="B17" s="31">
        <v>9</v>
      </c>
      <c r="C17" s="32"/>
      <c r="D17" s="32"/>
      <c r="E17" s="32"/>
      <c r="F17" s="37"/>
      <c r="G17" s="33"/>
      <c r="H17" s="33"/>
      <c r="I17" s="33"/>
      <c r="J17" s="40"/>
      <c r="K17" s="41"/>
      <c r="L17" s="96"/>
      <c r="M17" s="33"/>
      <c r="N17" s="103"/>
      <c r="O17" s="58"/>
      <c r="P17" s="59"/>
      <c r="Q17" s="59"/>
      <c r="R17" s="59"/>
      <c r="S17" s="60"/>
      <c r="T17" s="61"/>
      <c r="U17" s="62"/>
      <c r="V17" s="59"/>
      <c r="W17" s="63"/>
      <c r="X17" s="44"/>
      <c r="Y17" s="45"/>
      <c r="Z17" s="106"/>
      <c r="AA17" s="106"/>
      <c r="AB17" s="156"/>
      <c r="AC17" s="49"/>
      <c r="AD17" s="85" t="str">
        <f t="shared" si="17"/>
        <v/>
      </c>
      <c r="AE17" s="85" t="str">
        <f t="shared" si="17"/>
        <v/>
      </c>
      <c r="AF17" s="109"/>
      <c r="AG17" s="88"/>
      <c r="AH17" s="123" t="str">
        <f t="shared" si="0"/>
        <v/>
      </c>
      <c r="AI17" s="117"/>
      <c r="AJ17" s="138" t="str">
        <f t="shared" si="7"/>
        <v/>
      </c>
      <c r="AK17" s="92"/>
      <c r="AL17" s="106"/>
      <c r="AM17" s="111"/>
      <c r="AN17" s="77"/>
      <c r="AO17" s="45"/>
      <c r="AP17" s="106"/>
      <c r="AQ17" s="106"/>
      <c r="AR17" s="156"/>
      <c r="AS17" s="49"/>
      <c r="AT17" s="85" t="str">
        <f t="shared" si="8"/>
        <v/>
      </c>
      <c r="AU17" s="85" t="str">
        <f t="shared" si="8"/>
        <v/>
      </c>
      <c r="AV17" s="109"/>
      <c r="AW17" s="88"/>
      <c r="AX17" s="123" t="str">
        <f t="shared" si="1"/>
        <v/>
      </c>
      <c r="AY17" s="117"/>
      <c r="AZ17" s="138" t="str">
        <f t="shared" si="16"/>
        <v/>
      </c>
      <c r="BA17" s="92"/>
      <c r="BB17" s="106"/>
      <c r="BC17" s="119"/>
      <c r="BE17" s="147" t="str">
        <f t="shared" si="2"/>
        <v/>
      </c>
      <c r="BF17" s="145" t="str">
        <f t="shared" si="3"/>
        <v/>
      </c>
      <c r="BG17" s="145" t="str">
        <f t="shared" si="4"/>
        <v/>
      </c>
      <c r="BH17" s="145" t="str">
        <f t="shared" si="5"/>
        <v/>
      </c>
      <c r="BI17" s="146" t="str">
        <f t="shared" si="9"/>
        <v/>
      </c>
      <c r="BJ17" s="147" t="str">
        <f t="shared" si="10"/>
        <v/>
      </c>
      <c r="BK17" s="145" t="str">
        <f t="shared" si="11"/>
        <v/>
      </c>
      <c r="BL17" s="145" t="str">
        <f t="shared" si="12"/>
        <v/>
      </c>
      <c r="BM17" s="145" t="str">
        <f t="shared" si="13"/>
        <v/>
      </c>
      <c r="BN17" s="146" t="str">
        <f t="shared" si="14"/>
        <v/>
      </c>
      <c r="BO17" s="148"/>
      <c r="BP17" s="149"/>
      <c r="BQ17" s="149"/>
      <c r="BR17" s="149"/>
      <c r="BS17" s="146" t="str">
        <f t="shared" si="15"/>
        <v/>
      </c>
    </row>
    <row r="18" spans="1:71" s="84" customFormat="1">
      <c r="A18" s="82"/>
      <c r="B18" s="31">
        <v>10</v>
      </c>
      <c r="C18" s="32"/>
      <c r="D18" s="32"/>
      <c r="E18" s="32"/>
      <c r="F18" s="37"/>
      <c r="G18" s="33"/>
      <c r="H18" s="33"/>
      <c r="I18" s="33"/>
      <c r="J18" s="40"/>
      <c r="K18" s="41"/>
      <c r="L18" s="96"/>
      <c r="M18" s="33"/>
      <c r="N18" s="103"/>
      <c r="O18" s="58"/>
      <c r="P18" s="59"/>
      <c r="Q18" s="59"/>
      <c r="R18" s="59"/>
      <c r="S18" s="60"/>
      <c r="T18" s="61"/>
      <c r="U18" s="62"/>
      <c r="V18" s="59"/>
      <c r="W18" s="63"/>
      <c r="X18" s="44"/>
      <c r="Y18" s="45"/>
      <c r="Z18" s="106"/>
      <c r="AA18" s="106"/>
      <c r="AB18" s="156"/>
      <c r="AC18" s="49"/>
      <c r="AD18" s="85" t="str">
        <f t="shared" si="17"/>
        <v/>
      </c>
      <c r="AE18" s="85" t="str">
        <f t="shared" si="17"/>
        <v/>
      </c>
      <c r="AF18" s="109"/>
      <c r="AG18" s="88"/>
      <c r="AH18" s="123" t="str">
        <f t="shared" si="0"/>
        <v/>
      </c>
      <c r="AI18" s="117"/>
      <c r="AJ18" s="138" t="str">
        <f t="shared" si="7"/>
        <v/>
      </c>
      <c r="AK18" s="92"/>
      <c r="AL18" s="106"/>
      <c r="AM18" s="111"/>
      <c r="AN18" s="77"/>
      <c r="AO18" s="45"/>
      <c r="AP18" s="106"/>
      <c r="AQ18" s="106"/>
      <c r="AR18" s="156"/>
      <c r="AS18" s="49"/>
      <c r="AT18" s="85" t="str">
        <f t="shared" si="8"/>
        <v/>
      </c>
      <c r="AU18" s="85" t="str">
        <f t="shared" si="8"/>
        <v/>
      </c>
      <c r="AV18" s="109"/>
      <c r="AW18" s="88"/>
      <c r="AX18" s="123" t="str">
        <f t="shared" si="1"/>
        <v/>
      </c>
      <c r="AY18" s="117"/>
      <c r="AZ18" s="138" t="str">
        <f t="shared" si="16"/>
        <v/>
      </c>
      <c r="BA18" s="92"/>
      <c r="BB18" s="106"/>
      <c r="BC18" s="119"/>
      <c r="BE18" s="147" t="str">
        <f t="shared" si="2"/>
        <v/>
      </c>
      <c r="BF18" s="145" t="str">
        <f t="shared" si="3"/>
        <v/>
      </c>
      <c r="BG18" s="145" t="str">
        <f t="shared" si="4"/>
        <v/>
      </c>
      <c r="BH18" s="145" t="str">
        <f t="shared" si="5"/>
        <v/>
      </c>
      <c r="BI18" s="146" t="str">
        <f t="shared" si="9"/>
        <v/>
      </c>
      <c r="BJ18" s="147" t="str">
        <f t="shared" si="10"/>
        <v/>
      </c>
      <c r="BK18" s="145" t="str">
        <f t="shared" si="11"/>
        <v/>
      </c>
      <c r="BL18" s="145" t="str">
        <f t="shared" si="12"/>
        <v/>
      </c>
      <c r="BM18" s="145" t="str">
        <f t="shared" si="13"/>
        <v/>
      </c>
      <c r="BN18" s="146" t="str">
        <f t="shared" si="14"/>
        <v/>
      </c>
      <c r="BO18" s="148"/>
      <c r="BP18" s="149"/>
      <c r="BQ18" s="149"/>
      <c r="BR18" s="149"/>
      <c r="BS18" s="146" t="str">
        <f t="shared" si="15"/>
        <v/>
      </c>
    </row>
    <row r="19" spans="1:71" s="84" customFormat="1">
      <c r="A19" s="82"/>
      <c r="B19" s="31">
        <v>11</v>
      </c>
      <c r="C19" s="32"/>
      <c r="D19" s="32"/>
      <c r="E19" s="32"/>
      <c r="F19" s="37"/>
      <c r="G19" s="33"/>
      <c r="H19" s="33"/>
      <c r="I19" s="33"/>
      <c r="J19" s="40"/>
      <c r="K19" s="41"/>
      <c r="L19" s="96"/>
      <c r="M19" s="33"/>
      <c r="N19" s="103"/>
      <c r="O19" s="58"/>
      <c r="P19" s="59"/>
      <c r="Q19" s="59"/>
      <c r="R19" s="59"/>
      <c r="S19" s="60"/>
      <c r="T19" s="61"/>
      <c r="U19" s="62"/>
      <c r="V19" s="59"/>
      <c r="W19" s="63"/>
      <c r="X19" s="44"/>
      <c r="Y19" s="45"/>
      <c r="Z19" s="106"/>
      <c r="AA19" s="106"/>
      <c r="AB19" s="156"/>
      <c r="AC19" s="49"/>
      <c r="AD19" s="85" t="str">
        <f t="shared" si="17"/>
        <v/>
      </c>
      <c r="AE19" s="85" t="str">
        <f t="shared" si="17"/>
        <v/>
      </c>
      <c r="AF19" s="109"/>
      <c r="AG19" s="88"/>
      <c r="AH19" s="123" t="str">
        <f t="shared" si="0"/>
        <v/>
      </c>
      <c r="AI19" s="117"/>
      <c r="AJ19" s="138" t="str">
        <f t="shared" si="7"/>
        <v/>
      </c>
      <c r="AK19" s="92"/>
      <c r="AL19" s="106"/>
      <c r="AM19" s="111"/>
      <c r="AN19" s="77"/>
      <c r="AO19" s="45"/>
      <c r="AP19" s="106"/>
      <c r="AQ19" s="106"/>
      <c r="AR19" s="156"/>
      <c r="AS19" s="49"/>
      <c r="AT19" s="85" t="str">
        <f t="shared" si="8"/>
        <v/>
      </c>
      <c r="AU19" s="85" t="str">
        <f t="shared" si="8"/>
        <v/>
      </c>
      <c r="AV19" s="109"/>
      <c r="AW19" s="88"/>
      <c r="AX19" s="123" t="str">
        <f t="shared" si="1"/>
        <v/>
      </c>
      <c r="AY19" s="117"/>
      <c r="AZ19" s="138" t="str">
        <f t="shared" si="16"/>
        <v/>
      </c>
      <c r="BA19" s="92"/>
      <c r="BB19" s="106"/>
      <c r="BC19" s="119"/>
      <c r="BE19" s="147" t="str">
        <f t="shared" si="2"/>
        <v/>
      </c>
      <c r="BF19" s="145" t="str">
        <f t="shared" si="3"/>
        <v/>
      </c>
      <c r="BG19" s="145" t="str">
        <f t="shared" si="4"/>
        <v/>
      </c>
      <c r="BH19" s="145" t="str">
        <f t="shared" si="5"/>
        <v/>
      </c>
      <c r="BI19" s="146" t="str">
        <f t="shared" si="9"/>
        <v/>
      </c>
      <c r="BJ19" s="147" t="str">
        <f t="shared" si="10"/>
        <v/>
      </c>
      <c r="BK19" s="145" t="str">
        <f t="shared" si="11"/>
        <v/>
      </c>
      <c r="BL19" s="145" t="str">
        <f t="shared" si="12"/>
        <v/>
      </c>
      <c r="BM19" s="145" t="str">
        <f t="shared" si="13"/>
        <v/>
      </c>
      <c r="BN19" s="146" t="str">
        <f t="shared" si="14"/>
        <v/>
      </c>
      <c r="BO19" s="148"/>
      <c r="BP19" s="149"/>
      <c r="BQ19" s="149"/>
      <c r="BR19" s="149"/>
      <c r="BS19" s="146" t="str">
        <f t="shared" si="15"/>
        <v/>
      </c>
    </row>
    <row r="20" spans="1:71" s="84" customFormat="1">
      <c r="A20" s="82"/>
      <c r="B20" s="31">
        <v>12</v>
      </c>
      <c r="C20" s="32"/>
      <c r="D20" s="32"/>
      <c r="E20" s="32"/>
      <c r="F20" s="37"/>
      <c r="G20" s="33"/>
      <c r="H20" s="33"/>
      <c r="I20" s="33"/>
      <c r="J20" s="40"/>
      <c r="K20" s="41"/>
      <c r="L20" s="96"/>
      <c r="M20" s="33"/>
      <c r="N20" s="103"/>
      <c r="O20" s="58"/>
      <c r="P20" s="59"/>
      <c r="Q20" s="59"/>
      <c r="R20" s="59"/>
      <c r="S20" s="60"/>
      <c r="T20" s="61"/>
      <c r="U20" s="62"/>
      <c r="V20" s="59"/>
      <c r="W20" s="63"/>
      <c r="X20" s="44"/>
      <c r="Y20" s="45"/>
      <c r="Z20" s="106"/>
      <c r="AA20" s="106"/>
      <c r="AB20" s="156"/>
      <c r="AC20" s="49"/>
      <c r="AD20" s="85" t="str">
        <f t="shared" si="17"/>
        <v/>
      </c>
      <c r="AE20" s="85" t="str">
        <f t="shared" si="17"/>
        <v/>
      </c>
      <c r="AF20" s="109"/>
      <c r="AG20" s="88"/>
      <c r="AH20" s="123" t="str">
        <f t="shared" si="0"/>
        <v/>
      </c>
      <c r="AI20" s="117"/>
      <c r="AJ20" s="138" t="str">
        <f t="shared" si="7"/>
        <v/>
      </c>
      <c r="AK20" s="92"/>
      <c r="AL20" s="106"/>
      <c r="AM20" s="111"/>
      <c r="AN20" s="77"/>
      <c r="AO20" s="45"/>
      <c r="AP20" s="106"/>
      <c r="AQ20" s="106"/>
      <c r="AR20" s="156"/>
      <c r="AS20" s="49"/>
      <c r="AT20" s="85" t="str">
        <f t="shared" si="8"/>
        <v/>
      </c>
      <c r="AU20" s="85" t="str">
        <f t="shared" si="8"/>
        <v/>
      </c>
      <c r="AV20" s="109"/>
      <c r="AW20" s="88"/>
      <c r="AX20" s="123" t="str">
        <f t="shared" si="1"/>
        <v/>
      </c>
      <c r="AY20" s="117"/>
      <c r="AZ20" s="138" t="str">
        <f t="shared" si="16"/>
        <v/>
      </c>
      <c r="BA20" s="92"/>
      <c r="BB20" s="106"/>
      <c r="BC20" s="119"/>
      <c r="BE20" s="147" t="str">
        <f t="shared" si="2"/>
        <v/>
      </c>
      <c r="BF20" s="145" t="str">
        <f t="shared" si="3"/>
        <v/>
      </c>
      <c r="BG20" s="145" t="str">
        <f t="shared" si="4"/>
        <v/>
      </c>
      <c r="BH20" s="145" t="str">
        <f t="shared" si="5"/>
        <v/>
      </c>
      <c r="BI20" s="146" t="str">
        <f t="shared" si="9"/>
        <v/>
      </c>
      <c r="BJ20" s="147" t="str">
        <f t="shared" si="10"/>
        <v/>
      </c>
      <c r="BK20" s="145" t="str">
        <f t="shared" si="11"/>
        <v/>
      </c>
      <c r="BL20" s="145" t="str">
        <f t="shared" si="12"/>
        <v/>
      </c>
      <c r="BM20" s="145" t="str">
        <f t="shared" si="13"/>
        <v/>
      </c>
      <c r="BN20" s="146" t="str">
        <f t="shared" si="14"/>
        <v/>
      </c>
      <c r="BO20" s="148"/>
      <c r="BP20" s="149"/>
      <c r="BQ20" s="149"/>
      <c r="BR20" s="149"/>
      <c r="BS20" s="146" t="str">
        <f t="shared" si="15"/>
        <v/>
      </c>
    </row>
    <row r="21" spans="1:71" s="84" customFormat="1">
      <c r="A21" s="82"/>
      <c r="B21" s="31">
        <v>13</v>
      </c>
      <c r="C21" s="32"/>
      <c r="D21" s="32"/>
      <c r="E21" s="32"/>
      <c r="F21" s="37"/>
      <c r="G21" s="33"/>
      <c r="H21" s="33"/>
      <c r="I21" s="33"/>
      <c r="J21" s="40"/>
      <c r="K21" s="41"/>
      <c r="L21" s="96"/>
      <c r="M21" s="33"/>
      <c r="N21" s="103"/>
      <c r="O21" s="58"/>
      <c r="P21" s="59"/>
      <c r="Q21" s="59"/>
      <c r="R21" s="59"/>
      <c r="S21" s="60"/>
      <c r="T21" s="61"/>
      <c r="U21" s="62"/>
      <c r="V21" s="59"/>
      <c r="W21" s="63"/>
      <c r="X21" s="44"/>
      <c r="Y21" s="45"/>
      <c r="Z21" s="106"/>
      <c r="AA21" s="106"/>
      <c r="AB21" s="156"/>
      <c r="AC21" s="49"/>
      <c r="AD21" s="85" t="str">
        <f t="shared" si="17"/>
        <v/>
      </c>
      <c r="AE21" s="85" t="str">
        <f t="shared" si="17"/>
        <v/>
      </c>
      <c r="AF21" s="109"/>
      <c r="AG21" s="88"/>
      <c r="AH21" s="123" t="str">
        <f t="shared" si="0"/>
        <v/>
      </c>
      <c r="AI21" s="117"/>
      <c r="AJ21" s="138" t="str">
        <f t="shared" si="7"/>
        <v/>
      </c>
      <c r="AK21" s="92"/>
      <c r="AL21" s="106"/>
      <c r="AM21" s="111"/>
      <c r="AN21" s="77"/>
      <c r="AO21" s="45"/>
      <c r="AP21" s="106"/>
      <c r="AQ21" s="106"/>
      <c r="AR21" s="156"/>
      <c r="AS21" s="49"/>
      <c r="AT21" s="85" t="str">
        <f t="shared" si="8"/>
        <v/>
      </c>
      <c r="AU21" s="85" t="str">
        <f t="shared" si="8"/>
        <v/>
      </c>
      <c r="AV21" s="109"/>
      <c r="AW21" s="88"/>
      <c r="AX21" s="123" t="str">
        <f t="shared" si="1"/>
        <v/>
      </c>
      <c r="AY21" s="117"/>
      <c r="AZ21" s="138" t="str">
        <f t="shared" si="16"/>
        <v/>
      </c>
      <c r="BA21" s="92"/>
      <c r="BB21" s="106"/>
      <c r="BC21" s="119"/>
      <c r="BE21" s="147" t="str">
        <f t="shared" si="2"/>
        <v/>
      </c>
      <c r="BF21" s="145" t="str">
        <f t="shared" si="3"/>
        <v/>
      </c>
      <c r="BG21" s="145" t="str">
        <f t="shared" si="4"/>
        <v/>
      </c>
      <c r="BH21" s="145" t="str">
        <f t="shared" si="5"/>
        <v/>
      </c>
      <c r="BI21" s="146" t="str">
        <f t="shared" si="9"/>
        <v/>
      </c>
      <c r="BJ21" s="147" t="str">
        <f t="shared" si="10"/>
        <v/>
      </c>
      <c r="BK21" s="145" t="str">
        <f t="shared" si="11"/>
        <v/>
      </c>
      <c r="BL21" s="145" t="str">
        <f t="shared" si="12"/>
        <v/>
      </c>
      <c r="BM21" s="145" t="str">
        <f t="shared" si="13"/>
        <v/>
      </c>
      <c r="BN21" s="146" t="str">
        <f t="shared" si="14"/>
        <v/>
      </c>
      <c r="BO21" s="148"/>
      <c r="BP21" s="149"/>
      <c r="BQ21" s="149"/>
      <c r="BR21" s="149"/>
      <c r="BS21" s="146" t="str">
        <f t="shared" si="15"/>
        <v/>
      </c>
    </row>
    <row r="22" spans="1:71" s="84" customFormat="1">
      <c r="A22" s="82"/>
      <c r="B22" s="31">
        <v>14</v>
      </c>
      <c r="C22" s="32"/>
      <c r="D22" s="32"/>
      <c r="E22" s="32"/>
      <c r="F22" s="37"/>
      <c r="G22" s="33"/>
      <c r="H22" s="33"/>
      <c r="I22" s="33"/>
      <c r="J22" s="40"/>
      <c r="K22" s="41"/>
      <c r="L22" s="96"/>
      <c r="M22" s="33"/>
      <c r="N22" s="103"/>
      <c r="O22" s="58"/>
      <c r="P22" s="59"/>
      <c r="Q22" s="59"/>
      <c r="R22" s="59"/>
      <c r="S22" s="60"/>
      <c r="T22" s="61"/>
      <c r="U22" s="62"/>
      <c r="V22" s="59"/>
      <c r="W22" s="63"/>
      <c r="X22" s="44"/>
      <c r="Y22" s="45"/>
      <c r="Z22" s="106"/>
      <c r="AA22" s="106"/>
      <c r="AB22" s="156"/>
      <c r="AC22" s="49"/>
      <c r="AD22" s="85" t="str">
        <f t="shared" si="17"/>
        <v/>
      </c>
      <c r="AE22" s="85" t="str">
        <f t="shared" si="17"/>
        <v/>
      </c>
      <c r="AF22" s="109"/>
      <c r="AG22" s="88"/>
      <c r="AH22" s="123" t="str">
        <f t="shared" si="0"/>
        <v/>
      </c>
      <c r="AI22" s="117"/>
      <c r="AJ22" s="138" t="str">
        <f t="shared" si="7"/>
        <v/>
      </c>
      <c r="AK22" s="92"/>
      <c r="AL22" s="106"/>
      <c r="AM22" s="111"/>
      <c r="AN22" s="77"/>
      <c r="AO22" s="45"/>
      <c r="AP22" s="106"/>
      <c r="AQ22" s="106"/>
      <c r="AR22" s="156"/>
      <c r="AS22" s="49"/>
      <c r="AT22" s="85" t="str">
        <f t="shared" si="8"/>
        <v/>
      </c>
      <c r="AU22" s="85" t="str">
        <f t="shared" si="8"/>
        <v/>
      </c>
      <c r="AV22" s="109"/>
      <c r="AW22" s="88"/>
      <c r="AX22" s="123" t="str">
        <f t="shared" si="1"/>
        <v/>
      </c>
      <c r="AY22" s="117"/>
      <c r="AZ22" s="138" t="str">
        <f t="shared" si="16"/>
        <v/>
      </c>
      <c r="BA22" s="92"/>
      <c r="BB22" s="106"/>
      <c r="BC22" s="119"/>
      <c r="BE22" s="147" t="str">
        <f t="shared" si="2"/>
        <v/>
      </c>
      <c r="BF22" s="145" t="str">
        <f t="shared" si="3"/>
        <v/>
      </c>
      <c r="BG22" s="145" t="str">
        <f t="shared" si="4"/>
        <v/>
      </c>
      <c r="BH22" s="145" t="str">
        <f t="shared" si="5"/>
        <v/>
      </c>
      <c r="BI22" s="146" t="str">
        <f t="shared" si="9"/>
        <v/>
      </c>
      <c r="BJ22" s="147" t="str">
        <f t="shared" si="10"/>
        <v/>
      </c>
      <c r="BK22" s="145" t="str">
        <f t="shared" si="11"/>
        <v/>
      </c>
      <c r="BL22" s="145" t="str">
        <f t="shared" si="12"/>
        <v/>
      </c>
      <c r="BM22" s="145" t="str">
        <f t="shared" si="13"/>
        <v/>
      </c>
      <c r="BN22" s="146" t="str">
        <f t="shared" si="14"/>
        <v/>
      </c>
      <c r="BO22" s="148"/>
      <c r="BP22" s="149"/>
      <c r="BQ22" s="149"/>
      <c r="BR22" s="149"/>
      <c r="BS22" s="146" t="str">
        <f t="shared" si="15"/>
        <v/>
      </c>
    </row>
    <row r="23" spans="1:71" s="84" customFormat="1">
      <c r="A23" s="82"/>
      <c r="B23" s="75">
        <v>15</v>
      </c>
      <c r="C23" s="34"/>
      <c r="D23" s="34"/>
      <c r="E23" s="34"/>
      <c r="F23" s="38"/>
      <c r="G23" s="35"/>
      <c r="H23" s="35"/>
      <c r="I23" s="35"/>
      <c r="J23" s="42"/>
      <c r="K23" s="43"/>
      <c r="L23" s="97"/>
      <c r="M23" s="35"/>
      <c r="N23" s="104"/>
      <c r="O23" s="64"/>
      <c r="P23" s="65"/>
      <c r="Q23" s="65"/>
      <c r="R23" s="65"/>
      <c r="S23" s="66"/>
      <c r="T23" s="67"/>
      <c r="U23" s="68"/>
      <c r="V23" s="65"/>
      <c r="W23" s="69"/>
      <c r="X23" s="46"/>
      <c r="Y23" s="47"/>
      <c r="Z23" s="107"/>
      <c r="AA23" s="107"/>
      <c r="AB23" s="157"/>
      <c r="AC23" s="50"/>
      <c r="AD23" s="86" t="str">
        <f t="shared" si="17"/>
        <v/>
      </c>
      <c r="AE23" s="86" t="str">
        <f t="shared" si="17"/>
        <v/>
      </c>
      <c r="AF23" s="110"/>
      <c r="AG23" s="89"/>
      <c r="AH23" s="124" t="str">
        <f t="shared" si="0"/>
        <v/>
      </c>
      <c r="AI23" s="118"/>
      <c r="AJ23" s="139" t="str">
        <f t="shared" si="7"/>
        <v/>
      </c>
      <c r="AK23" s="93"/>
      <c r="AL23" s="107"/>
      <c r="AM23" s="112"/>
      <c r="AN23" s="78"/>
      <c r="AO23" s="47"/>
      <c r="AP23" s="107"/>
      <c r="AQ23" s="107"/>
      <c r="AR23" s="157"/>
      <c r="AS23" s="50"/>
      <c r="AT23" s="86" t="str">
        <f t="shared" si="8"/>
        <v/>
      </c>
      <c r="AU23" s="86" t="str">
        <f t="shared" si="8"/>
        <v/>
      </c>
      <c r="AV23" s="110"/>
      <c r="AW23" s="89"/>
      <c r="AX23" s="124" t="str">
        <f t="shared" si="1"/>
        <v/>
      </c>
      <c r="AY23" s="118"/>
      <c r="AZ23" s="139" t="str">
        <f t="shared" si="16"/>
        <v/>
      </c>
      <c r="BA23" s="93"/>
      <c r="BB23" s="107"/>
      <c r="BC23" s="120"/>
      <c r="BE23" s="152" t="str">
        <f t="shared" si="2"/>
        <v/>
      </c>
      <c r="BF23" s="150" t="str">
        <f t="shared" si="3"/>
        <v/>
      </c>
      <c r="BG23" s="150" t="str">
        <f t="shared" si="4"/>
        <v/>
      </c>
      <c r="BH23" s="150" t="str">
        <f t="shared" si="5"/>
        <v/>
      </c>
      <c r="BI23" s="151" t="str">
        <f t="shared" si="9"/>
        <v/>
      </c>
      <c r="BJ23" s="152" t="str">
        <f t="shared" si="10"/>
        <v/>
      </c>
      <c r="BK23" s="150" t="str">
        <f t="shared" si="11"/>
        <v/>
      </c>
      <c r="BL23" s="150" t="str">
        <f t="shared" si="12"/>
        <v/>
      </c>
      <c r="BM23" s="150" t="str">
        <f t="shared" si="13"/>
        <v/>
      </c>
      <c r="BN23" s="151" t="str">
        <f t="shared" si="14"/>
        <v/>
      </c>
      <c r="BO23" s="153"/>
      <c r="BP23" s="154"/>
      <c r="BQ23" s="154"/>
      <c r="BR23" s="154"/>
      <c r="BS23" s="151" t="str">
        <f t="shared" si="15"/>
        <v/>
      </c>
    </row>
    <row r="24" spans="1:71" ht="15.75">
      <c r="A24" s="73">
        <f>ROW()</f>
        <v>24</v>
      </c>
      <c r="B24" s="202" t="s">
        <v>86</v>
      </c>
      <c r="C24" s="202"/>
      <c r="D24" s="202"/>
      <c r="E24" s="202"/>
      <c r="F24" s="202"/>
      <c r="K24" s="7">
        <f>SUM(K9:K23)</f>
        <v>4.9000000000000004</v>
      </c>
      <c r="L24" s="7">
        <f>SUM(L9:L23)</f>
        <v>5</v>
      </c>
      <c r="M24" s="9"/>
      <c r="N24" s="9"/>
      <c r="O24" s="13">
        <f>MIN(O9:O23)</f>
        <v>0</v>
      </c>
      <c r="P24" s="13">
        <f>MAX(P9:P23)</f>
        <v>0</v>
      </c>
      <c r="Q24" s="13">
        <f>MIN(Q9:Q23)</f>
        <v>0</v>
      </c>
      <c r="R24" s="13">
        <f>MAX(R9:R23)</f>
        <v>0</v>
      </c>
      <c r="S24" s="9"/>
      <c r="T24" s="10"/>
      <c r="U24" s="9"/>
      <c r="V24" s="9"/>
      <c r="W24" s="11"/>
      <c r="X24" s="13">
        <f>MIN(X9:X23)</f>
        <v>44425</v>
      </c>
      <c r="Y24" s="13">
        <f>MAX(Y9:Y23)</f>
        <v>44438</v>
      </c>
      <c r="Z24" s="13">
        <f>MIN(Z9:Z23)</f>
        <v>44425</v>
      </c>
      <c r="AA24" s="13">
        <f>MAX(AA9:AA23)</f>
        <v>44435</v>
      </c>
      <c r="AB24" s="10"/>
      <c r="AC24" s="7">
        <f>SUM(AC9:AC23)</f>
        <v>12.9</v>
      </c>
      <c r="AD24" s="8">
        <f>SUM(AD9:AD23)</f>
        <v>467</v>
      </c>
      <c r="AE24" s="8">
        <f>SUM(AE9:AE23)</f>
        <v>539</v>
      </c>
      <c r="AF24" s="8">
        <f>SUM(AF9:AF23)</f>
        <v>351</v>
      </c>
      <c r="AG24" s="163"/>
      <c r="AH24" s="163"/>
      <c r="AI24" s="9"/>
      <c r="AJ24" s="9"/>
      <c r="AK24" s="9"/>
      <c r="AL24" s="9"/>
      <c r="AM24" s="11"/>
      <c r="AN24" s="13">
        <f>MIN(AN9:AN23)</f>
        <v>44427</v>
      </c>
      <c r="AO24" s="13">
        <f>MAX(AO9:AO23)</f>
        <v>44454</v>
      </c>
      <c r="AP24" s="13">
        <f>MIN(AP9:AP23)</f>
        <v>44425</v>
      </c>
      <c r="AQ24" s="13">
        <f>MAX(AQ9:AQ23)</f>
        <v>44442</v>
      </c>
      <c r="AR24" s="9"/>
      <c r="AS24" s="7">
        <f>SUM(AS9:AS23)</f>
        <v>25</v>
      </c>
      <c r="AT24" s="8">
        <f>SUM(AT9:AT23)</f>
        <v>57</v>
      </c>
      <c r="AU24" s="8">
        <f>SUM(AU9:AU23)</f>
        <v>75</v>
      </c>
      <c r="AV24" s="8">
        <f>SUM(AV9:AV23)</f>
        <v>33</v>
      </c>
      <c r="AW24" s="163"/>
      <c r="AX24" s="163"/>
      <c r="AY24" s="9"/>
      <c r="AZ24" s="9"/>
      <c r="BA24" s="9"/>
      <c r="BB24" s="9"/>
      <c r="BC24" s="12"/>
      <c r="BE24" s="7">
        <f t="shared" ref="BE24:BS24" si="18">SUM(BE9:BE23)</f>
        <v>280.2</v>
      </c>
      <c r="BF24" s="7">
        <f t="shared" si="18"/>
        <v>93.40000000000002</v>
      </c>
      <c r="BG24" s="7">
        <f t="shared" si="18"/>
        <v>70.05</v>
      </c>
      <c r="BH24" s="7">
        <f t="shared" si="18"/>
        <v>23.350000000000005</v>
      </c>
      <c r="BI24" s="101">
        <f t="shared" si="18"/>
        <v>467</v>
      </c>
      <c r="BJ24" s="7">
        <f t="shared" si="18"/>
        <v>286.2</v>
      </c>
      <c r="BK24" s="7">
        <f t="shared" si="18"/>
        <v>95.40000000000002</v>
      </c>
      <c r="BL24" s="7">
        <f t="shared" si="18"/>
        <v>71.55</v>
      </c>
      <c r="BM24" s="7">
        <f t="shared" si="18"/>
        <v>23.850000000000005</v>
      </c>
      <c r="BN24" s="101">
        <f t="shared" si="18"/>
        <v>477</v>
      </c>
      <c r="BO24" s="102">
        <f t="shared" si="18"/>
        <v>18</v>
      </c>
      <c r="BP24" s="102">
        <f t="shared" si="18"/>
        <v>15</v>
      </c>
      <c r="BQ24" s="102">
        <f t="shared" si="18"/>
        <v>12</v>
      </c>
      <c r="BR24" s="102">
        <f t="shared" si="18"/>
        <v>9</v>
      </c>
      <c r="BS24" s="101">
        <f t="shared" si="18"/>
        <v>54</v>
      </c>
    </row>
    <row r="25" spans="1:71" ht="15" thickBot="1">
      <c r="AG25" s="113" t="s">
        <v>87</v>
      </c>
      <c r="AW25" s="113" t="s">
        <v>87</v>
      </c>
    </row>
    <row r="26" spans="1:71">
      <c r="AG26" s="127" t="s">
        <v>88</v>
      </c>
      <c r="AH26" s="128"/>
      <c r="AI26" s="129">
        <v>0</v>
      </c>
      <c r="AW26" s="127" t="s">
        <v>88</v>
      </c>
      <c r="AX26" s="128"/>
      <c r="AY26" s="129">
        <v>0</v>
      </c>
    </row>
    <row r="27" spans="1:71">
      <c r="AG27" s="130" t="s">
        <v>123</v>
      </c>
      <c r="AH27" s="125"/>
      <c r="AI27" s="131">
        <v>0.2</v>
      </c>
      <c r="AW27" s="130" t="s">
        <v>124</v>
      </c>
      <c r="AX27" s="125"/>
      <c r="AY27" s="131">
        <v>0.2</v>
      </c>
    </row>
    <row r="28" spans="1:71">
      <c r="AG28" s="130" t="s">
        <v>91</v>
      </c>
      <c r="AH28" s="125"/>
      <c r="AI28" s="131">
        <v>0.4</v>
      </c>
      <c r="AW28" s="130" t="s">
        <v>125</v>
      </c>
      <c r="AX28" s="125"/>
      <c r="AY28" s="131">
        <v>0.4</v>
      </c>
    </row>
    <row r="29" spans="1:71">
      <c r="AG29" s="130" t="s">
        <v>126</v>
      </c>
      <c r="AH29" s="125"/>
      <c r="AI29" s="131">
        <v>0.8</v>
      </c>
      <c r="AW29" s="130" t="s">
        <v>127</v>
      </c>
      <c r="AX29" s="125"/>
      <c r="AY29" s="131">
        <v>0.85</v>
      </c>
    </row>
    <row r="30" spans="1:71">
      <c r="AG30" s="130" t="s">
        <v>128</v>
      </c>
      <c r="AH30" s="125"/>
      <c r="AI30" s="131">
        <v>1</v>
      </c>
      <c r="AW30" s="130" t="s">
        <v>128</v>
      </c>
      <c r="AX30" s="125"/>
      <c r="AY30" s="131">
        <v>1</v>
      </c>
    </row>
    <row r="31" spans="1:71">
      <c r="AG31" s="132"/>
      <c r="AH31" s="126"/>
      <c r="AI31" s="133"/>
      <c r="AW31" s="132"/>
      <c r="AX31" s="126"/>
      <c r="AY31" s="133"/>
    </row>
    <row r="32" spans="1:71">
      <c r="AG32" s="132"/>
      <c r="AH32" s="126"/>
      <c r="AI32" s="133"/>
      <c r="AW32" s="132"/>
      <c r="AX32" s="126"/>
      <c r="AY32" s="133"/>
    </row>
    <row r="33" spans="1:71">
      <c r="AG33" s="132"/>
      <c r="AH33" s="126"/>
      <c r="AI33" s="133"/>
      <c r="AW33" s="132"/>
      <c r="AX33" s="126"/>
      <c r="AY33" s="133"/>
    </row>
    <row r="34" spans="1:71" s="4" customFormat="1">
      <c r="A34" s="73"/>
      <c r="B34" s="2"/>
      <c r="C34" s="2"/>
      <c r="D34" s="2"/>
      <c r="E34" s="2"/>
      <c r="F34" s="2"/>
      <c r="G34" s="2"/>
      <c r="H34" s="2"/>
      <c r="I34" s="2"/>
      <c r="J34" s="2"/>
      <c r="K34" s="3"/>
      <c r="L34" s="3"/>
      <c r="O34" s="5"/>
      <c r="P34" s="5"/>
      <c r="Q34" s="5"/>
      <c r="R34" s="5"/>
      <c r="T34" s="6"/>
      <c r="W34" s="5"/>
      <c r="X34" s="5"/>
      <c r="Y34" s="5"/>
      <c r="Z34" s="5"/>
      <c r="AA34" s="5"/>
      <c r="AB34" s="6"/>
      <c r="AC34" s="5"/>
      <c r="AG34" s="132"/>
      <c r="AH34" s="126"/>
      <c r="AI34" s="133"/>
      <c r="AM34" s="5"/>
      <c r="AN34" s="5"/>
      <c r="AO34" s="5"/>
      <c r="AQ34" s="6"/>
      <c r="AS34" s="2"/>
      <c r="AT34" s="2"/>
      <c r="AV34" s="2"/>
      <c r="AW34" s="132"/>
      <c r="AX34" s="126"/>
      <c r="AY34" s="133"/>
      <c r="BC34" s="2"/>
      <c r="BD34" s="2"/>
      <c r="BE34" s="2"/>
      <c r="BF34" s="2"/>
      <c r="BG34" s="2"/>
      <c r="BH34" s="2"/>
      <c r="BI34" s="2"/>
      <c r="BJ34" s="2"/>
      <c r="BK34" s="2"/>
      <c r="BL34" s="2"/>
      <c r="BM34" s="2"/>
      <c r="BN34" s="2"/>
      <c r="BO34" s="2"/>
      <c r="BP34" s="2"/>
      <c r="BQ34" s="2"/>
      <c r="BR34" s="2"/>
      <c r="BS34" s="2"/>
    </row>
    <row r="35" spans="1:71" s="4" customFormat="1" ht="15" thickBot="1">
      <c r="A35" s="73"/>
      <c r="B35" s="2"/>
      <c r="C35" s="2"/>
      <c r="D35" s="2"/>
      <c r="E35" s="2"/>
      <c r="F35" s="2"/>
      <c r="G35" s="2"/>
      <c r="H35" s="2"/>
      <c r="I35" s="2"/>
      <c r="J35" s="2"/>
      <c r="K35" s="3"/>
      <c r="L35" s="3"/>
      <c r="O35" s="5"/>
      <c r="P35" s="5"/>
      <c r="Q35" s="5"/>
      <c r="R35" s="5"/>
      <c r="T35" s="6"/>
      <c r="W35" s="5"/>
      <c r="X35" s="5"/>
      <c r="Y35" s="5"/>
      <c r="Z35" s="5"/>
      <c r="AA35" s="5"/>
      <c r="AB35" s="6"/>
      <c r="AC35" s="5"/>
      <c r="AG35" s="134"/>
      <c r="AH35" s="135"/>
      <c r="AI35" s="136"/>
      <c r="AM35" s="5"/>
      <c r="AN35" s="5"/>
      <c r="AO35" s="5"/>
      <c r="AQ35" s="6"/>
      <c r="AS35" s="2"/>
      <c r="AT35" s="2"/>
      <c r="AV35" s="2"/>
      <c r="AW35" s="134"/>
      <c r="AX35" s="135"/>
      <c r="AY35" s="136"/>
      <c r="BC35" s="2"/>
      <c r="BD35" s="2"/>
      <c r="BE35" s="2"/>
      <c r="BF35" s="2"/>
      <c r="BG35" s="2"/>
      <c r="BH35" s="2"/>
      <c r="BI35" s="2"/>
      <c r="BJ35" s="2"/>
      <c r="BK35" s="2"/>
      <c r="BL35" s="2"/>
      <c r="BM35" s="2"/>
      <c r="BN35" s="2"/>
      <c r="BO35" s="2"/>
      <c r="BP35" s="2"/>
      <c r="BQ35" s="2"/>
      <c r="BR35" s="2"/>
      <c r="BS35" s="2"/>
    </row>
  </sheetData>
  <sheetProtection password="C989" sheet="1" objects="1" scenarios="1"/>
  <dataConsolidate/>
  <mergeCells count="51">
    <mergeCell ref="BO7:BS7"/>
    <mergeCell ref="AG8:AH8"/>
    <mergeCell ref="AW8:AX8"/>
    <mergeCell ref="B24:F24"/>
    <mergeCell ref="AS7:AS8"/>
    <mergeCell ref="AT7:AV7"/>
    <mergeCell ref="AW7:AY7"/>
    <mergeCell ref="AZ7:BC7"/>
    <mergeCell ref="BE7:BI7"/>
    <mergeCell ref="BJ7:BN7"/>
    <mergeCell ref="AD7:AF7"/>
    <mergeCell ref="AG7:AI7"/>
    <mergeCell ref="AJ7:AM7"/>
    <mergeCell ref="AN7:AO7"/>
    <mergeCell ref="AP7:AQ7"/>
    <mergeCell ref="AR7:AR8"/>
    <mergeCell ref="AC7:AC8"/>
    <mergeCell ref="N7:N8"/>
    <mergeCell ref="O7:P7"/>
    <mergeCell ref="Q7:R7"/>
    <mergeCell ref="S7:S8"/>
    <mergeCell ref="T7:T8"/>
    <mergeCell ref="U7:U8"/>
    <mergeCell ref="V7:V8"/>
    <mergeCell ref="W7:W8"/>
    <mergeCell ref="X7:Y7"/>
    <mergeCell ref="Z7:AA7"/>
    <mergeCell ref="AB7:AB8"/>
    <mergeCell ref="M7:M8"/>
    <mergeCell ref="B6:C6"/>
    <mergeCell ref="O6:W6"/>
    <mergeCell ref="X6:AM6"/>
    <mergeCell ref="AN6:BC6"/>
    <mergeCell ref="B7:B8"/>
    <mergeCell ref="C7:C8"/>
    <mergeCell ref="D7:D8"/>
    <mergeCell ref="E7:E8"/>
    <mergeCell ref="F7:F8"/>
    <mergeCell ref="G7:G8"/>
    <mergeCell ref="H7:H8"/>
    <mergeCell ref="I7:I8"/>
    <mergeCell ref="J7:J8"/>
    <mergeCell ref="K7:K8"/>
    <mergeCell ref="L7:L8"/>
    <mergeCell ref="B2:D2"/>
    <mergeCell ref="E2:F2"/>
    <mergeCell ref="BE2:BI2"/>
    <mergeCell ref="B3:D3"/>
    <mergeCell ref="E3:F3"/>
    <mergeCell ref="AB3:AC3"/>
    <mergeCell ref="AR3:AS3"/>
  </mergeCells>
  <phoneticPr fontId="2"/>
  <conditionalFormatting sqref="B9:N23">
    <cfRule type="expression" dxfId="17" priority="15">
      <formula>IF($J9="取消",TRUE,FALSE)</formula>
    </cfRule>
  </conditionalFormatting>
  <conditionalFormatting sqref="Z9:Z23">
    <cfRule type="expression" dxfId="16" priority="14">
      <formula>IF($X9="",FALSE,IF($Z9="",IF($X9&lt;TODAY(),TRUE,FALSE),FALSE))</formula>
    </cfRule>
  </conditionalFormatting>
  <conditionalFormatting sqref="AA9:AA23">
    <cfRule type="expression" dxfId="15" priority="13">
      <formula>IF($Y9="",FALSE,IF($AA9="",IF($Y9&lt;TODAY(),TRUE,FALSE),FALSE))</formula>
    </cfRule>
  </conditionalFormatting>
  <conditionalFormatting sqref="AP9:AP23">
    <cfRule type="expression" dxfId="14" priority="12">
      <formula>IF($AN9="",FALSE,IF($AP9="",IF($AN9&lt;TODAY(),TRUE,FALSE),FALSE))</formula>
    </cfRule>
  </conditionalFormatting>
  <conditionalFormatting sqref="AQ9:AQ23">
    <cfRule type="expression" dxfId="13" priority="11">
      <formula>IF($AO9="",FALSE,IF($AQ9="",IF($AO9&lt;TODAY(),TRUE,FALSE),FALSE))</formula>
    </cfRule>
  </conditionalFormatting>
  <conditionalFormatting sqref="Q9:Q23">
    <cfRule type="expression" dxfId="12" priority="10">
      <formula>IF($O9="",FALSE,IF($Q9="",IF($O9&lt;TODAY(),TRUE,FALSE),FALSE))</formula>
    </cfRule>
  </conditionalFormatting>
  <conditionalFormatting sqref="R9:R23">
    <cfRule type="expression" dxfId="11" priority="9">
      <formula>IF($P9="",FALSE,IF($R9="",IF($P9&lt;TODAY(),TRUE,FALSE),FALSE))</formula>
    </cfRule>
  </conditionalFormatting>
  <conditionalFormatting sqref="U9:U23">
    <cfRule type="expression" dxfId="10" priority="8">
      <formula>IF($U9=1,TRUE,FALSE)</formula>
    </cfRule>
  </conditionalFormatting>
  <conditionalFormatting sqref="AY9:AY23">
    <cfRule type="expression" dxfId="9" priority="7">
      <formula>IF($AY9=1,TRUE,FALSE)</formula>
    </cfRule>
  </conditionalFormatting>
  <conditionalFormatting sqref="AI9:AI23">
    <cfRule type="expression" dxfId="8" priority="6">
      <formula>IF($AI9=1,TRUE,FALSE)</formula>
    </cfRule>
  </conditionalFormatting>
  <conditionalFormatting sqref="AJ9:AJ23">
    <cfRule type="expression" dxfId="7" priority="3">
      <formula>IF($AL9="",FALSE,TRUE)</formula>
    </cfRule>
    <cfRule type="expression" dxfId="6" priority="5">
      <formula>IF($AJ9="過少",TRUE,FALSE)</formula>
    </cfRule>
  </conditionalFormatting>
  <conditionalFormatting sqref="AZ9:AZ23">
    <cfRule type="expression" dxfId="5" priority="1">
      <formula>IF($BB9="",FALSE,TRUE)</formula>
    </cfRule>
    <cfRule type="expression" dxfId="4" priority="2">
      <formula>IF($AZ9="超過",TRUE,FALSE)</formula>
    </cfRule>
    <cfRule type="expression" dxfId="3" priority="4">
      <formula>IF($AZ9="過少",TRUE,FALSE)</formula>
    </cfRule>
  </conditionalFormatting>
  <dataValidations count="12">
    <dataValidation type="decimal" operator="greaterThanOrEqual" allowBlank="1" showInputMessage="1" showErrorMessage="1" sqref="U9:U23 K9:L23 AC9:AC23 AS9:AS23" xr:uid="{00000000-0002-0000-0700-000000000000}">
      <formula1>0</formula1>
    </dataValidation>
    <dataValidation type="whole" operator="greaterThanOrEqual" allowBlank="1" showInputMessage="1" showErrorMessage="1" sqref="BO9:BR23 AV9:AV23 AT10:AT23 AF9:AF23" xr:uid="{00000000-0002-0000-0700-000001000000}">
      <formula1>0</formula1>
    </dataValidation>
    <dataValidation type="date" operator="greaterThanOrEqual" allowBlank="1" showInputMessage="1" showErrorMessage="1" sqref="AL9:AL23 X9:AA23 V9:V23 AN9:AQ23 O9:R23 BB9:BB23" xr:uid="{00000000-0002-0000-0700-000002000000}">
      <formula1>36526</formula1>
    </dataValidation>
    <dataValidation type="list" allowBlank="1" showInputMessage="1" showErrorMessage="1" sqref="J9:J23" xr:uid="{00000000-0002-0000-0700-000003000000}">
      <formula1>"　,取消"</formula1>
    </dataValidation>
    <dataValidation type="list" operator="greaterThanOrEqual" allowBlank="1" showInputMessage="1" showErrorMessage="1" sqref="AG9:AG23" xr:uid="{00000000-0002-0000-0700-000004000000}">
      <formula1>$AG$26:$AG$35</formula1>
    </dataValidation>
    <dataValidation operator="greaterThanOrEqual" allowBlank="1" showInputMessage="1" showErrorMessage="1" sqref="BA9:BA23 AX9:AX23 AK9:AK23 AH9:AH23" xr:uid="{00000000-0002-0000-0700-000005000000}"/>
    <dataValidation type="list" operator="greaterThanOrEqual" allowBlank="1" showInputMessage="1" showErrorMessage="1" sqref="AW9:AW23" xr:uid="{00000000-0002-0000-0700-000006000000}">
      <formula1>$AW$26:$AW$35</formula1>
    </dataValidation>
    <dataValidation type="whole" operator="greaterThan" allowBlank="1" showInputMessage="1" showErrorMessage="1" sqref="AT9" xr:uid="{00000000-0002-0000-0700-000007000000}">
      <formula1>0</formula1>
    </dataValidation>
    <dataValidation type="decimal" operator="greaterThan" allowBlank="1" showInputMessage="1" showErrorMessage="1" sqref="AD3 AT3 T9:T23" xr:uid="{00000000-0002-0000-0700-000008000000}">
      <formula1>0</formula1>
    </dataValidation>
    <dataValidation type="decimal" allowBlank="1" showInputMessage="1" showErrorMessage="1" sqref="BE4:BH4 AY9:AY23 AI9:AI23" xr:uid="{00000000-0002-0000-0700-000009000000}">
      <formula1>0</formula1>
      <formula2>1</formula2>
    </dataValidation>
    <dataValidation operator="greaterThan" allowBlank="1" showInputMessage="1" showErrorMessage="1" sqref="AF3 AV3" xr:uid="{00000000-0002-0000-0700-00000A000000}"/>
    <dataValidation type="decimal" operator="greaterThanOrEqual" allowBlank="1" showInputMessage="1" showErrorMessage="1" sqref="AE3 AU3" xr:uid="{00000000-0002-0000-0700-00000B000000}">
      <formula1>AD3</formula1>
    </dataValidation>
  </dataValidations>
  <pageMargins left="0.51181102362204722" right="0.51181102362204722" top="0.55118110236220474" bottom="0.55118110236220474" header="0.31496062992125984" footer="0.31496062992125984"/>
  <pageSetup paperSize="8" scale="23"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C000"/>
  </sheetPr>
  <dimension ref="A1:AY18"/>
  <sheetViews>
    <sheetView zoomScaleNormal="100" workbookViewId="0">
      <selection activeCell="N12" sqref="N12"/>
    </sheetView>
  </sheetViews>
  <sheetFormatPr defaultColWidth="8.88671875" defaultRowHeight="12"/>
  <cols>
    <col min="1" max="1" width="8.88671875" style="36" bestFit="1" customWidth="1"/>
    <col min="2" max="2" width="6.6640625" style="36" bestFit="1" customWidth="1"/>
    <col min="3" max="3" width="4" style="36" bestFit="1" customWidth="1"/>
    <col min="4" max="4" width="5.33203125" style="36" bestFit="1" customWidth="1"/>
    <col min="5" max="5" width="6.33203125" style="36" bestFit="1" customWidth="1"/>
    <col min="6" max="6" width="9.6640625" style="36" bestFit="1" customWidth="1"/>
    <col min="7" max="7" width="29.109375" style="36" bestFit="1" customWidth="1"/>
    <col min="8" max="9" width="4.21875" style="36" bestFit="1" customWidth="1"/>
    <col min="10" max="10" width="4" style="36" bestFit="1" customWidth="1"/>
    <col min="11" max="11" width="6.6640625" style="36" bestFit="1" customWidth="1"/>
    <col min="12" max="12" width="5.33203125" style="36" bestFit="1" customWidth="1"/>
    <col min="13" max="13" width="57.77734375" style="36" bestFit="1" customWidth="1"/>
    <col min="14" max="17" width="11.5546875" style="36" bestFit="1" customWidth="1"/>
    <col min="18" max="18" width="8.77734375" style="36" bestFit="1" customWidth="1"/>
    <col min="19" max="19" width="7.44140625" style="36" bestFit="1" customWidth="1"/>
    <col min="20" max="20" width="8.33203125" style="36" bestFit="1" customWidth="1"/>
    <col min="21" max="21" width="9.6640625" style="36" bestFit="1" customWidth="1"/>
    <col min="22" max="22" width="10.109375" style="36" bestFit="1" customWidth="1"/>
    <col min="23" max="24" width="8.77734375" style="36" bestFit="1" customWidth="1"/>
    <col min="25" max="28" width="10" style="36" bestFit="1" customWidth="1"/>
    <col min="29" max="29" width="7.33203125" style="36" bestFit="1" customWidth="1"/>
    <col min="30" max="30" width="6" style="36" bestFit="1" customWidth="1"/>
    <col min="31" max="32" width="8.77734375" style="36" bestFit="1" customWidth="1"/>
    <col min="33" max="33" width="8.6640625" style="36" bestFit="1" customWidth="1"/>
    <col min="34" max="34" width="7.88671875" style="36" bestFit="1" customWidth="1"/>
    <col min="35" max="35" width="7.33203125" style="36" bestFit="1" customWidth="1"/>
    <col min="36" max="37" width="8.88671875" style="36"/>
    <col min="38" max="39" width="11.21875" style="36" bestFit="1" customWidth="1"/>
    <col min="40" max="40" width="12.6640625" style="36" bestFit="1" customWidth="1"/>
    <col min="41" max="42" width="8.88671875" style="36"/>
    <col min="43" max="44" width="10.6640625" style="36" bestFit="1" customWidth="1"/>
    <col min="45" max="45" width="12.6640625" style="36" bestFit="1" customWidth="1"/>
    <col min="46" max="47" width="8.88671875" style="36"/>
    <col min="48" max="49" width="10.21875" style="36" bestFit="1" customWidth="1"/>
    <col min="50" max="50" width="12.6640625" style="36" bestFit="1" customWidth="1"/>
    <col min="51" max="16384" width="8.88671875" style="36"/>
  </cols>
  <sheetData>
    <row r="1" spans="1:51">
      <c r="A1" s="36" t="s">
        <v>129</v>
      </c>
      <c r="B1" s="36" t="s">
        <v>130</v>
      </c>
      <c r="C1" s="36" t="s">
        <v>131</v>
      </c>
      <c r="D1" s="36" t="s">
        <v>132</v>
      </c>
      <c r="E1" s="36" t="s">
        <v>133</v>
      </c>
      <c r="F1" s="36" t="s">
        <v>134</v>
      </c>
      <c r="G1" s="36" t="s">
        <v>135</v>
      </c>
      <c r="H1" s="36" t="s">
        <v>136</v>
      </c>
      <c r="I1" s="36" t="s">
        <v>137</v>
      </c>
      <c r="J1" s="36" t="s">
        <v>138</v>
      </c>
      <c r="K1" s="36" t="s">
        <v>139</v>
      </c>
      <c r="L1" s="36" t="s">
        <v>140</v>
      </c>
      <c r="M1" s="36" t="s">
        <v>141</v>
      </c>
      <c r="N1" s="36" t="s">
        <v>142</v>
      </c>
      <c r="O1" s="36" t="s">
        <v>143</v>
      </c>
      <c r="P1" s="36" t="s">
        <v>144</v>
      </c>
      <c r="Q1" s="36" t="s">
        <v>145</v>
      </c>
      <c r="R1" s="36" t="s">
        <v>146</v>
      </c>
      <c r="S1" s="36" t="s">
        <v>147</v>
      </c>
      <c r="T1" s="36" t="s">
        <v>148</v>
      </c>
      <c r="U1" s="36" t="s">
        <v>149</v>
      </c>
      <c r="V1" s="36" t="s">
        <v>150</v>
      </c>
      <c r="W1" s="36" t="s">
        <v>151</v>
      </c>
      <c r="X1" s="36" t="s">
        <v>152</v>
      </c>
      <c r="Y1" s="36" t="s">
        <v>153</v>
      </c>
      <c r="Z1" s="36" t="s">
        <v>154</v>
      </c>
      <c r="AA1" s="36" t="s">
        <v>155</v>
      </c>
      <c r="AB1" s="36" t="s">
        <v>156</v>
      </c>
      <c r="AC1" s="36" t="s">
        <v>157</v>
      </c>
      <c r="AD1" s="36" t="s">
        <v>158</v>
      </c>
      <c r="AE1" s="36" t="s">
        <v>159</v>
      </c>
      <c r="AF1" s="36" t="s">
        <v>160</v>
      </c>
      <c r="AG1" s="36" t="s">
        <v>161</v>
      </c>
      <c r="AH1" s="36" t="s">
        <v>162</v>
      </c>
      <c r="AI1" s="36" t="s">
        <v>163</v>
      </c>
      <c r="AJ1" s="36" t="s">
        <v>164</v>
      </c>
      <c r="AK1" s="36" t="s">
        <v>165</v>
      </c>
      <c r="AL1" s="36" t="s">
        <v>166</v>
      </c>
      <c r="AM1" s="36" t="s">
        <v>167</v>
      </c>
      <c r="AN1" s="36" t="s">
        <v>168</v>
      </c>
      <c r="AO1" s="36" t="s">
        <v>169</v>
      </c>
      <c r="AP1" s="36" t="s">
        <v>170</v>
      </c>
      <c r="AQ1" s="36" t="s">
        <v>171</v>
      </c>
      <c r="AR1" s="36" t="s">
        <v>172</v>
      </c>
      <c r="AS1" s="36" t="s">
        <v>173</v>
      </c>
      <c r="AT1" s="36" t="s">
        <v>174</v>
      </c>
      <c r="AU1" s="36" t="s">
        <v>175</v>
      </c>
      <c r="AV1" s="36" t="s">
        <v>176</v>
      </c>
      <c r="AW1" s="36" t="s">
        <v>177</v>
      </c>
      <c r="AX1" s="36" t="s">
        <v>178</v>
      </c>
      <c r="AY1" s="36" t="s">
        <v>179</v>
      </c>
    </row>
    <row r="2" spans="1:51">
      <c r="A2" s="36" t="s">
        <v>180</v>
      </c>
      <c r="B2" s="36" t="s">
        <v>181</v>
      </c>
      <c r="C2" s="36">
        <v>1</v>
      </c>
      <c r="D2" s="36" t="s">
        <v>182</v>
      </c>
      <c r="E2" s="36" t="s">
        <v>183</v>
      </c>
      <c r="F2" s="36" t="s">
        <v>184</v>
      </c>
      <c r="G2" s="36" t="s">
        <v>185</v>
      </c>
      <c r="H2" s="36" t="s">
        <v>186</v>
      </c>
      <c r="I2" s="36" t="s">
        <v>187</v>
      </c>
      <c r="J2" s="36" t="s">
        <v>188</v>
      </c>
      <c r="K2" s="36">
        <v>0</v>
      </c>
      <c r="M2" s="36" t="s">
        <v>189</v>
      </c>
      <c r="N2" s="168">
        <v>44782</v>
      </c>
      <c r="O2" s="168">
        <v>44782</v>
      </c>
      <c r="P2" s="168">
        <v>44777</v>
      </c>
      <c r="Q2" s="168">
        <v>44777</v>
      </c>
      <c r="R2" s="36" t="s">
        <v>190</v>
      </c>
      <c r="S2" s="36">
        <v>0</v>
      </c>
      <c r="T2" s="36">
        <v>0</v>
      </c>
      <c r="U2" s="36">
        <v>15</v>
      </c>
      <c r="V2" s="36">
        <v>0.4</v>
      </c>
      <c r="Y2" s="168">
        <v>44781</v>
      </c>
      <c r="Z2" s="168">
        <v>44781</v>
      </c>
      <c r="AA2" s="168">
        <v>44781</v>
      </c>
      <c r="AB2" s="168">
        <v>44781</v>
      </c>
      <c r="AC2" s="36" t="s">
        <v>191</v>
      </c>
      <c r="AD2" s="36">
        <v>0</v>
      </c>
      <c r="AE2" s="36">
        <v>0</v>
      </c>
      <c r="AF2" s="36">
        <v>2</v>
      </c>
      <c r="AG2" s="36">
        <v>0.85</v>
      </c>
      <c r="AJ2" s="36">
        <v>135</v>
      </c>
      <c r="AK2" s="36">
        <v>0</v>
      </c>
      <c r="AL2" s="36">
        <v>0</v>
      </c>
      <c r="AM2" s="36">
        <v>0</v>
      </c>
      <c r="AN2" s="36">
        <v>0</v>
      </c>
      <c r="AO2" s="36">
        <v>0</v>
      </c>
      <c r="AP2" s="36">
        <v>6.6</v>
      </c>
      <c r="AQ2" s="36">
        <v>2.2000000000000002</v>
      </c>
      <c r="AR2" s="36">
        <v>1.1000000000000001</v>
      </c>
      <c r="AS2" s="36">
        <v>1.1000000000000001</v>
      </c>
      <c r="AT2" s="36">
        <v>11</v>
      </c>
      <c r="AU2" s="36">
        <v>7</v>
      </c>
      <c r="AV2" s="36">
        <v>3</v>
      </c>
      <c r="AW2" s="36">
        <v>2</v>
      </c>
      <c r="AX2" s="36">
        <v>3</v>
      </c>
      <c r="AY2" s="36">
        <v>15</v>
      </c>
    </row>
    <row r="3" spans="1:51">
      <c r="A3" s="36" t="s">
        <v>180</v>
      </c>
      <c r="B3" s="36" t="s">
        <v>181</v>
      </c>
      <c r="C3" s="36">
        <v>2</v>
      </c>
      <c r="D3" s="36" t="s">
        <v>182</v>
      </c>
      <c r="E3" s="36" t="s">
        <v>192</v>
      </c>
      <c r="F3" s="36" t="s">
        <v>193</v>
      </c>
      <c r="G3" s="36" t="s">
        <v>194</v>
      </c>
      <c r="H3" s="36" t="s">
        <v>186</v>
      </c>
      <c r="I3" s="36" t="s">
        <v>187</v>
      </c>
      <c r="J3" s="36" t="s">
        <v>109</v>
      </c>
      <c r="K3" s="36">
        <v>0</v>
      </c>
      <c r="M3" s="36" t="s">
        <v>195</v>
      </c>
      <c r="N3" s="168">
        <v>44783</v>
      </c>
      <c r="O3" s="168">
        <v>44783</v>
      </c>
      <c r="R3" s="36" t="s">
        <v>190</v>
      </c>
      <c r="S3" s="36">
        <v>0</v>
      </c>
      <c r="T3" s="36">
        <v>0</v>
      </c>
      <c r="U3" s="36">
        <v>0</v>
      </c>
      <c r="V3" s="36">
        <v>0</v>
      </c>
      <c r="Y3" s="168">
        <v>44789</v>
      </c>
      <c r="Z3" s="168">
        <v>44791</v>
      </c>
      <c r="AC3" s="36" t="s">
        <v>190</v>
      </c>
      <c r="AD3" s="36">
        <v>0</v>
      </c>
      <c r="AE3" s="36">
        <v>0</v>
      </c>
      <c r="AF3" s="36">
        <v>0</v>
      </c>
      <c r="AG3" s="36">
        <v>0</v>
      </c>
      <c r="AJ3" s="36">
        <v>0</v>
      </c>
      <c r="AK3" s="36">
        <v>0</v>
      </c>
      <c r="AL3" s="36">
        <v>0</v>
      </c>
      <c r="AM3" s="36">
        <v>0</v>
      </c>
      <c r="AN3" s="36">
        <v>0</v>
      </c>
      <c r="AO3" s="36">
        <v>0</v>
      </c>
      <c r="AP3" s="36">
        <v>0</v>
      </c>
      <c r="AQ3" s="36">
        <v>0</v>
      </c>
      <c r="AR3" s="36">
        <v>0</v>
      </c>
      <c r="AS3" s="36">
        <v>0</v>
      </c>
      <c r="AT3" s="36">
        <v>0</v>
      </c>
      <c r="AU3" s="36">
        <v>0</v>
      </c>
      <c r="AV3" s="36">
        <v>0</v>
      </c>
      <c r="AW3" s="36">
        <v>0</v>
      </c>
      <c r="AX3" s="36">
        <v>0</v>
      </c>
      <c r="AY3" s="36">
        <v>0</v>
      </c>
    </row>
    <row r="4" spans="1:51">
      <c r="A4" s="36" t="s">
        <v>180</v>
      </c>
      <c r="B4" s="36" t="s">
        <v>181</v>
      </c>
      <c r="C4" s="36">
        <v>3</v>
      </c>
      <c r="D4" s="36" t="s">
        <v>182</v>
      </c>
      <c r="E4" s="36" t="s">
        <v>192</v>
      </c>
      <c r="F4" s="36" t="s">
        <v>196</v>
      </c>
      <c r="G4" s="36" t="s">
        <v>197</v>
      </c>
      <c r="H4" s="36" t="s">
        <v>186</v>
      </c>
      <c r="I4" s="36" t="s">
        <v>187</v>
      </c>
      <c r="J4" s="36" t="s">
        <v>188</v>
      </c>
      <c r="K4" s="36">
        <v>0</v>
      </c>
      <c r="M4" s="36" t="s">
        <v>189</v>
      </c>
      <c r="N4" s="168">
        <v>44782</v>
      </c>
      <c r="O4" s="168">
        <v>44782</v>
      </c>
      <c r="P4" s="168">
        <v>44777</v>
      </c>
      <c r="Q4" s="168">
        <v>44777</v>
      </c>
      <c r="R4" s="36" t="s">
        <v>190</v>
      </c>
      <c r="S4" s="36">
        <v>0</v>
      </c>
      <c r="T4" s="36">
        <v>0</v>
      </c>
      <c r="U4" s="36">
        <v>15</v>
      </c>
      <c r="V4" s="36">
        <v>0.4</v>
      </c>
      <c r="Y4" s="168">
        <v>44781</v>
      </c>
      <c r="Z4" s="168">
        <v>44781</v>
      </c>
      <c r="AA4" s="168">
        <v>44781</v>
      </c>
      <c r="AB4" s="168">
        <v>44781</v>
      </c>
      <c r="AC4" s="36" t="s">
        <v>198</v>
      </c>
      <c r="AD4" s="36">
        <v>0</v>
      </c>
      <c r="AE4" s="36">
        <v>0</v>
      </c>
      <c r="AF4" s="36">
        <v>1</v>
      </c>
      <c r="AG4" s="36">
        <v>0.85</v>
      </c>
      <c r="AJ4" s="36">
        <v>100</v>
      </c>
      <c r="AK4" s="36">
        <v>0</v>
      </c>
      <c r="AL4" s="36">
        <v>0</v>
      </c>
      <c r="AM4" s="36">
        <v>0</v>
      </c>
      <c r="AN4" s="36">
        <v>0</v>
      </c>
      <c r="AO4" s="36">
        <v>0</v>
      </c>
      <c r="AP4" s="36">
        <v>4.8</v>
      </c>
      <c r="AQ4" s="36">
        <v>1.6</v>
      </c>
      <c r="AR4" s="36">
        <v>0.8</v>
      </c>
      <c r="AS4" s="36">
        <v>0.8</v>
      </c>
      <c r="AT4" s="36">
        <v>8</v>
      </c>
      <c r="AU4" s="36">
        <v>7</v>
      </c>
      <c r="AV4" s="36">
        <v>4</v>
      </c>
      <c r="AW4" s="36">
        <v>2</v>
      </c>
      <c r="AX4" s="36">
        <v>2</v>
      </c>
      <c r="AY4" s="36">
        <v>15</v>
      </c>
    </row>
    <row r="5" spans="1:51">
      <c r="A5" s="36" t="s">
        <v>180</v>
      </c>
      <c r="B5" s="36" t="s">
        <v>181</v>
      </c>
      <c r="C5" s="36">
        <v>4</v>
      </c>
      <c r="D5" s="36" t="s">
        <v>199</v>
      </c>
      <c r="E5" s="36" t="s">
        <v>200</v>
      </c>
      <c r="F5" s="36" t="s">
        <v>201</v>
      </c>
      <c r="G5" s="36" t="s">
        <v>202</v>
      </c>
      <c r="H5" s="36" t="s">
        <v>186</v>
      </c>
      <c r="I5" s="36" t="s">
        <v>187</v>
      </c>
      <c r="J5" s="36" t="s">
        <v>188</v>
      </c>
      <c r="K5" s="36">
        <v>0</v>
      </c>
      <c r="M5" s="36" t="s">
        <v>189</v>
      </c>
      <c r="N5" s="168">
        <v>44781</v>
      </c>
      <c r="O5" s="168">
        <v>44781</v>
      </c>
      <c r="P5" s="168">
        <v>44777</v>
      </c>
      <c r="Q5" s="168">
        <v>44777</v>
      </c>
      <c r="R5" s="36" t="s">
        <v>190</v>
      </c>
      <c r="S5" s="36">
        <v>0</v>
      </c>
      <c r="T5" s="36">
        <v>0</v>
      </c>
      <c r="U5" s="36">
        <v>30</v>
      </c>
      <c r="V5" s="36">
        <v>0.4</v>
      </c>
      <c r="Y5" s="168">
        <v>44781</v>
      </c>
      <c r="Z5" s="168">
        <v>44781</v>
      </c>
      <c r="AA5" s="168">
        <v>44781</v>
      </c>
      <c r="AB5" s="168">
        <v>44781</v>
      </c>
      <c r="AC5" s="36" t="s">
        <v>203</v>
      </c>
      <c r="AD5" s="36">
        <v>0</v>
      </c>
      <c r="AE5" s="36">
        <v>0</v>
      </c>
      <c r="AF5" s="36">
        <v>2</v>
      </c>
      <c r="AG5" s="36">
        <v>0.85</v>
      </c>
      <c r="AJ5" s="36">
        <v>157</v>
      </c>
      <c r="AK5" s="36">
        <v>0</v>
      </c>
      <c r="AL5" s="36">
        <v>0</v>
      </c>
      <c r="AM5" s="36">
        <v>0</v>
      </c>
      <c r="AN5" s="36">
        <v>0</v>
      </c>
      <c r="AO5" s="36">
        <v>0</v>
      </c>
      <c r="AP5" s="36">
        <v>7.8</v>
      </c>
      <c r="AQ5" s="36">
        <v>2.6</v>
      </c>
      <c r="AR5" s="36">
        <v>1.3</v>
      </c>
      <c r="AS5" s="36">
        <v>1.3</v>
      </c>
      <c r="AT5" s="36">
        <v>13</v>
      </c>
      <c r="AU5" s="36">
        <v>10</v>
      </c>
      <c r="AV5" s="36">
        <v>5</v>
      </c>
      <c r="AW5" s="36">
        <v>4</v>
      </c>
      <c r="AX5" s="36">
        <v>3</v>
      </c>
      <c r="AY5" s="36">
        <v>22</v>
      </c>
    </row>
    <row r="6" spans="1:51">
      <c r="A6" s="36" t="s">
        <v>180</v>
      </c>
      <c r="B6" s="36" t="s">
        <v>181</v>
      </c>
      <c r="C6" s="36">
        <v>5</v>
      </c>
      <c r="D6" s="36" t="s">
        <v>204</v>
      </c>
      <c r="E6" s="36" t="s">
        <v>205</v>
      </c>
      <c r="F6" s="36" t="s">
        <v>81</v>
      </c>
      <c r="G6" s="36" t="s">
        <v>206</v>
      </c>
      <c r="H6" s="36" t="s">
        <v>186</v>
      </c>
      <c r="I6" s="36" t="s">
        <v>207</v>
      </c>
      <c r="J6" s="36" t="s">
        <v>188</v>
      </c>
      <c r="K6" s="36">
        <v>0</v>
      </c>
      <c r="N6" s="168">
        <v>44782</v>
      </c>
      <c r="O6" s="168">
        <v>44782</v>
      </c>
      <c r="P6" s="168">
        <v>44777</v>
      </c>
      <c r="Q6" s="168">
        <v>44777</v>
      </c>
      <c r="R6" s="36" t="s">
        <v>190</v>
      </c>
      <c r="S6" s="36">
        <v>0</v>
      </c>
      <c r="T6" s="36">
        <v>0</v>
      </c>
      <c r="U6" s="36">
        <v>0</v>
      </c>
      <c r="V6" s="36">
        <v>0.4</v>
      </c>
      <c r="Y6" s="168">
        <v>44785</v>
      </c>
      <c r="Z6" s="168">
        <v>44785</v>
      </c>
      <c r="AC6" s="36" t="s">
        <v>198</v>
      </c>
      <c r="AD6" s="36">
        <v>0</v>
      </c>
      <c r="AE6" s="36">
        <v>0</v>
      </c>
      <c r="AF6" s="36">
        <v>0</v>
      </c>
      <c r="AG6" s="36">
        <v>0</v>
      </c>
      <c r="AJ6" s="36">
        <v>0</v>
      </c>
      <c r="AK6" s="36">
        <v>0</v>
      </c>
      <c r="AL6" s="36">
        <v>0</v>
      </c>
      <c r="AM6" s="36">
        <v>0</v>
      </c>
      <c r="AN6" s="36">
        <v>0</v>
      </c>
      <c r="AO6" s="36">
        <v>0</v>
      </c>
      <c r="AP6" s="36">
        <v>0</v>
      </c>
      <c r="AQ6" s="36">
        <v>0</v>
      </c>
      <c r="AR6" s="36">
        <v>0</v>
      </c>
      <c r="AS6" s="36">
        <v>0</v>
      </c>
      <c r="AT6" s="36">
        <v>0</v>
      </c>
      <c r="AU6" s="36">
        <v>0</v>
      </c>
      <c r="AV6" s="36">
        <v>0</v>
      </c>
      <c r="AW6" s="36">
        <v>0</v>
      </c>
      <c r="AX6" s="36">
        <v>0</v>
      </c>
      <c r="AY6" s="36">
        <v>0</v>
      </c>
    </row>
    <row r="7" spans="1:51">
      <c r="A7" s="36" t="s">
        <v>180</v>
      </c>
      <c r="B7" s="36" t="s">
        <v>181</v>
      </c>
      <c r="C7" s="36">
        <v>6</v>
      </c>
      <c r="D7" s="36" t="s">
        <v>208</v>
      </c>
      <c r="E7" s="36" t="s">
        <v>209</v>
      </c>
      <c r="F7" s="36" t="s">
        <v>210</v>
      </c>
      <c r="G7" s="36" t="s">
        <v>211</v>
      </c>
      <c r="H7" s="36" t="s">
        <v>186</v>
      </c>
      <c r="I7" s="36" t="s">
        <v>187</v>
      </c>
      <c r="J7" s="36" t="s">
        <v>109</v>
      </c>
      <c r="K7" s="36">
        <v>0</v>
      </c>
      <c r="M7" s="36" t="s">
        <v>195</v>
      </c>
      <c r="N7" s="168">
        <v>44781</v>
      </c>
      <c r="O7" s="168">
        <v>44781</v>
      </c>
      <c r="P7" s="168">
        <v>44781</v>
      </c>
      <c r="Q7" s="168">
        <v>44781</v>
      </c>
      <c r="R7" s="36" t="s">
        <v>190</v>
      </c>
      <c r="S7" s="36">
        <v>0</v>
      </c>
      <c r="T7" s="36">
        <v>0</v>
      </c>
      <c r="U7" s="36">
        <v>0</v>
      </c>
      <c r="V7" s="36">
        <v>0.4</v>
      </c>
      <c r="Y7" s="168">
        <v>44788</v>
      </c>
      <c r="Z7" s="168">
        <v>44790</v>
      </c>
      <c r="AC7" s="36" t="s">
        <v>203</v>
      </c>
      <c r="AD7" s="36">
        <v>0</v>
      </c>
      <c r="AE7" s="36">
        <v>0</v>
      </c>
      <c r="AF7" s="36">
        <v>0</v>
      </c>
      <c r="AG7" s="36">
        <v>0</v>
      </c>
      <c r="AJ7" s="36">
        <v>0</v>
      </c>
      <c r="AK7" s="36">
        <v>0</v>
      </c>
      <c r="AL7" s="36">
        <v>0</v>
      </c>
      <c r="AM7" s="36">
        <v>0</v>
      </c>
      <c r="AN7" s="36">
        <v>0</v>
      </c>
      <c r="AO7" s="36">
        <v>0</v>
      </c>
      <c r="AP7" s="36">
        <v>0</v>
      </c>
      <c r="AQ7" s="36">
        <v>0</v>
      </c>
      <c r="AR7" s="36">
        <v>0</v>
      </c>
      <c r="AS7" s="36">
        <v>0</v>
      </c>
      <c r="AT7" s="36">
        <v>0</v>
      </c>
      <c r="AU7" s="36">
        <v>0</v>
      </c>
      <c r="AV7" s="36">
        <v>0</v>
      </c>
      <c r="AW7" s="36">
        <v>0</v>
      </c>
      <c r="AX7" s="36">
        <v>0</v>
      </c>
      <c r="AY7" s="36">
        <v>0</v>
      </c>
    </row>
    <row r="8" spans="1:51">
      <c r="A8" s="36" t="s">
        <v>180</v>
      </c>
      <c r="B8" s="36" t="s">
        <v>181</v>
      </c>
      <c r="C8" s="36">
        <v>7</v>
      </c>
      <c r="D8" s="36" t="s">
        <v>208</v>
      </c>
      <c r="E8" s="36" t="s">
        <v>209</v>
      </c>
      <c r="F8" s="36" t="s">
        <v>79</v>
      </c>
      <c r="G8" s="36" t="s">
        <v>212</v>
      </c>
      <c r="H8" s="36" t="s">
        <v>186</v>
      </c>
      <c r="I8" s="36" t="s">
        <v>187</v>
      </c>
      <c r="J8" s="36" t="s">
        <v>188</v>
      </c>
      <c r="K8" s="36">
        <v>0</v>
      </c>
      <c r="M8" s="36" t="s">
        <v>189</v>
      </c>
      <c r="N8" s="168">
        <v>44783</v>
      </c>
      <c r="O8" s="168">
        <v>44783</v>
      </c>
      <c r="P8" s="168">
        <v>44782</v>
      </c>
      <c r="Q8" s="168">
        <v>44782</v>
      </c>
      <c r="R8" s="36" t="s">
        <v>190</v>
      </c>
      <c r="S8" s="36">
        <v>0</v>
      </c>
      <c r="T8" s="36">
        <v>0</v>
      </c>
      <c r="U8" s="36">
        <v>0</v>
      </c>
      <c r="V8" s="36">
        <v>0.4</v>
      </c>
      <c r="Y8" s="168">
        <v>44784</v>
      </c>
      <c r="Z8" s="168">
        <v>44784</v>
      </c>
      <c r="AC8" s="36" t="s">
        <v>203</v>
      </c>
      <c r="AD8" s="36">
        <v>0</v>
      </c>
      <c r="AE8" s="36">
        <v>0</v>
      </c>
      <c r="AF8" s="36">
        <v>0</v>
      </c>
      <c r="AG8" s="36">
        <v>0</v>
      </c>
      <c r="AJ8" s="36">
        <v>0</v>
      </c>
      <c r="AK8" s="36">
        <v>0</v>
      </c>
      <c r="AL8" s="36">
        <v>0</v>
      </c>
      <c r="AM8" s="36">
        <v>0</v>
      </c>
      <c r="AN8" s="36">
        <v>0</v>
      </c>
      <c r="AO8" s="36">
        <v>0</v>
      </c>
      <c r="AP8" s="36">
        <v>0</v>
      </c>
      <c r="AQ8" s="36">
        <v>0</v>
      </c>
      <c r="AR8" s="36">
        <v>0</v>
      </c>
      <c r="AS8" s="36">
        <v>0</v>
      </c>
      <c r="AT8" s="36">
        <v>0</v>
      </c>
      <c r="AU8" s="36">
        <v>0</v>
      </c>
      <c r="AV8" s="36">
        <v>0</v>
      </c>
      <c r="AW8" s="36">
        <v>0</v>
      </c>
      <c r="AX8" s="36">
        <v>0</v>
      </c>
      <c r="AY8" s="36">
        <v>0</v>
      </c>
    </row>
    <row r="9" spans="1:51">
      <c r="A9" s="36" t="s">
        <v>180</v>
      </c>
      <c r="B9" s="36" t="s">
        <v>181</v>
      </c>
      <c r="C9" s="36">
        <v>8</v>
      </c>
      <c r="D9" s="36" t="s">
        <v>208</v>
      </c>
      <c r="E9" s="36" t="s">
        <v>209</v>
      </c>
      <c r="F9" s="36" t="s">
        <v>213</v>
      </c>
      <c r="G9" s="36" t="s">
        <v>214</v>
      </c>
      <c r="H9" s="36" t="s">
        <v>186</v>
      </c>
      <c r="I9" s="36" t="s">
        <v>187</v>
      </c>
      <c r="J9" s="36" t="s">
        <v>188</v>
      </c>
      <c r="K9" s="36">
        <v>0</v>
      </c>
      <c r="M9" s="36" t="s">
        <v>189</v>
      </c>
      <c r="N9" s="168">
        <v>44783</v>
      </c>
      <c r="O9" s="168">
        <v>44783</v>
      </c>
      <c r="P9" s="168">
        <v>44782</v>
      </c>
      <c r="Q9" s="168">
        <v>44782</v>
      </c>
      <c r="R9" s="36" t="s">
        <v>190</v>
      </c>
      <c r="S9" s="36">
        <v>0</v>
      </c>
      <c r="T9" s="36">
        <v>0</v>
      </c>
      <c r="U9" s="36">
        <v>0</v>
      </c>
      <c r="V9" s="36">
        <v>0.4</v>
      </c>
      <c r="Y9" s="168">
        <v>44785</v>
      </c>
      <c r="Z9" s="168">
        <v>44785</v>
      </c>
      <c r="AC9" s="36" t="s">
        <v>203</v>
      </c>
      <c r="AD9" s="36">
        <v>0</v>
      </c>
      <c r="AE9" s="36">
        <v>0</v>
      </c>
      <c r="AF9" s="36">
        <v>0</v>
      </c>
      <c r="AG9" s="36">
        <v>0</v>
      </c>
      <c r="AJ9" s="36">
        <v>0</v>
      </c>
      <c r="AK9" s="36">
        <v>0</v>
      </c>
      <c r="AL9" s="36">
        <v>0</v>
      </c>
      <c r="AM9" s="36">
        <v>0</v>
      </c>
      <c r="AN9" s="36">
        <v>0</v>
      </c>
      <c r="AO9" s="36">
        <v>0</v>
      </c>
      <c r="AP9" s="36">
        <v>0</v>
      </c>
      <c r="AQ9" s="36">
        <v>0</v>
      </c>
      <c r="AR9" s="36">
        <v>0</v>
      </c>
      <c r="AS9" s="36">
        <v>0</v>
      </c>
      <c r="AT9" s="36">
        <v>0</v>
      </c>
      <c r="AU9" s="36">
        <v>0</v>
      </c>
      <c r="AV9" s="36">
        <v>0</v>
      </c>
      <c r="AW9" s="36">
        <v>0</v>
      </c>
      <c r="AX9" s="36">
        <v>0</v>
      </c>
      <c r="AY9" s="36">
        <v>0</v>
      </c>
    </row>
    <row r="10" spans="1:51">
      <c r="A10" s="36" t="s">
        <v>180</v>
      </c>
      <c r="B10" s="36" t="s">
        <v>181</v>
      </c>
      <c r="C10" s="36">
        <v>9</v>
      </c>
      <c r="D10" s="36" t="s">
        <v>208</v>
      </c>
      <c r="E10" s="36" t="s">
        <v>209</v>
      </c>
      <c r="F10" s="36" t="s">
        <v>80</v>
      </c>
      <c r="G10" s="36" t="s">
        <v>215</v>
      </c>
      <c r="H10" s="36" t="s">
        <v>186</v>
      </c>
      <c r="I10" s="36" t="s">
        <v>187</v>
      </c>
      <c r="J10" s="36" t="s">
        <v>188</v>
      </c>
      <c r="K10" s="36">
        <v>0</v>
      </c>
      <c r="M10" s="36" t="s">
        <v>189</v>
      </c>
      <c r="N10" s="168">
        <v>44783</v>
      </c>
      <c r="O10" s="168">
        <v>44783</v>
      </c>
      <c r="P10" s="168">
        <v>44782</v>
      </c>
      <c r="Q10" s="168">
        <v>44782</v>
      </c>
      <c r="R10" s="36" t="s">
        <v>190</v>
      </c>
      <c r="S10" s="36">
        <v>0</v>
      </c>
      <c r="T10" s="36">
        <v>0</v>
      </c>
      <c r="U10" s="36">
        <v>0</v>
      </c>
      <c r="V10" s="36">
        <v>0.4</v>
      </c>
      <c r="Y10" s="168">
        <v>44784</v>
      </c>
      <c r="Z10" s="168">
        <v>44784</v>
      </c>
      <c r="AC10" s="36" t="s">
        <v>198</v>
      </c>
      <c r="AD10" s="36">
        <v>0</v>
      </c>
      <c r="AE10" s="36">
        <v>0</v>
      </c>
      <c r="AF10" s="36">
        <v>0</v>
      </c>
      <c r="AG10" s="36">
        <v>0</v>
      </c>
      <c r="AJ10" s="36">
        <v>0</v>
      </c>
      <c r="AK10" s="36">
        <v>0</v>
      </c>
      <c r="AL10" s="36">
        <v>0</v>
      </c>
      <c r="AM10" s="36">
        <v>0</v>
      </c>
      <c r="AN10" s="36">
        <v>0</v>
      </c>
      <c r="AO10" s="36">
        <v>0</v>
      </c>
      <c r="AP10" s="36">
        <v>0</v>
      </c>
      <c r="AQ10" s="36">
        <v>0</v>
      </c>
      <c r="AR10" s="36">
        <v>0</v>
      </c>
      <c r="AS10" s="36">
        <v>0</v>
      </c>
      <c r="AT10" s="36">
        <v>0</v>
      </c>
      <c r="AU10" s="36">
        <v>0</v>
      </c>
      <c r="AV10" s="36">
        <v>0</v>
      </c>
      <c r="AW10" s="36">
        <v>0</v>
      </c>
      <c r="AX10" s="36">
        <v>0</v>
      </c>
      <c r="AY10" s="36">
        <v>0</v>
      </c>
    </row>
    <row r="11" spans="1:51">
      <c r="A11" s="36" t="s">
        <v>180</v>
      </c>
      <c r="B11" s="36" t="s">
        <v>181</v>
      </c>
      <c r="C11" s="36">
        <v>10</v>
      </c>
      <c r="D11" s="36" t="s">
        <v>216</v>
      </c>
      <c r="E11" s="36" t="s">
        <v>217</v>
      </c>
      <c r="F11" s="36" t="s">
        <v>218</v>
      </c>
      <c r="G11" s="36" t="s">
        <v>219</v>
      </c>
      <c r="H11" s="36" t="s">
        <v>186</v>
      </c>
      <c r="I11" s="36" t="s">
        <v>187</v>
      </c>
      <c r="J11" s="36" t="s">
        <v>188</v>
      </c>
      <c r="K11" s="36">
        <v>0</v>
      </c>
      <c r="M11" s="36" t="s">
        <v>220</v>
      </c>
      <c r="N11" s="168">
        <v>44783</v>
      </c>
      <c r="O11" s="168">
        <v>44783</v>
      </c>
      <c r="P11" s="168">
        <v>44781</v>
      </c>
      <c r="Q11" s="168">
        <v>44781</v>
      </c>
      <c r="R11" s="36" t="s">
        <v>190</v>
      </c>
      <c r="S11" s="36">
        <v>0</v>
      </c>
      <c r="T11" s="36">
        <v>0</v>
      </c>
      <c r="U11" s="36">
        <v>23</v>
      </c>
      <c r="V11" s="36">
        <v>0.4</v>
      </c>
      <c r="Y11" s="168">
        <v>44782</v>
      </c>
      <c r="Z11" s="168">
        <v>44782</v>
      </c>
      <c r="AA11" s="168">
        <v>44782</v>
      </c>
      <c r="AB11" s="168">
        <v>44782</v>
      </c>
      <c r="AC11" s="36" t="s">
        <v>191</v>
      </c>
      <c r="AD11" s="36">
        <v>0</v>
      </c>
      <c r="AE11" s="36">
        <v>0</v>
      </c>
      <c r="AF11" s="36">
        <v>2</v>
      </c>
      <c r="AG11" s="36">
        <v>0.4</v>
      </c>
      <c r="AJ11" s="36">
        <v>119</v>
      </c>
      <c r="AK11" s="36">
        <v>0</v>
      </c>
      <c r="AL11" s="36">
        <v>0</v>
      </c>
      <c r="AM11" s="36">
        <v>0</v>
      </c>
      <c r="AN11" s="36">
        <v>0</v>
      </c>
      <c r="AO11" s="36">
        <v>0</v>
      </c>
      <c r="AP11" s="36">
        <v>6</v>
      </c>
      <c r="AQ11" s="36">
        <v>2</v>
      </c>
      <c r="AR11" s="36">
        <v>1</v>
      </c>
      <c r="AS11" s="36">
        <v>1</v>
      </c>
      <c r="AT11" s="36">
        <v>10</v>
      </c>
      <c r="AU11" s="36">
        <v>9</v>
      </c>
      <c r="AV11" s="36">
        <v>6</v>
      </c>
      <c r="AW11" s="36">
        <v>4</v>
      </c>
      <c r="AX11" s="36">
        <v>4</v>
      </c>
      <c r="AY11" s="36">
        <v>23</v>
      </c>
    </row>
    <row r="12" spans="1:51">
      <c r="A12" s="36" t="s">
        <v>180</v>
      </c>
      <c r="B12" s="36" t="s">
        <v>181</v>
      </c>
      <c r="C12" s="36">
        <v>11</v>
      </c>
      <c r="D12" s="36" t="s">
        <v>216</v>
      </c>
      <c r="E12" s="36" t="s">
        <v>217</v>
      </c>
      <c r="F12" s="36" t="s">
        <v>221</v>
      </c>
      <c r="G12" s="36" t="s">
        <v>222</v>
      </c>
      <c r="H12" s="36" t="s">
        <v>186</v>
      </c>
      <c r="I12" s="36" t="s">
        <v>187</v>
      </c>
      <c r="J12" s="36" t="s">
        <v>188</v>
      </c>
      <c r="K12" s="36">
        <v>0</v>
      </c>
      <c r="M12" s="36" t="s">
        <v>220</v>
      </c>
      <c r="N12" s="168">
        <v>44784</v>
      </c>
      <c r="O12" s="168">
        <v>44784</v>
      </c>
      <c r="P12" s="168">
        <v>44781</v>
      </c>
      <c r="Q12" s="168">
        <v>44781</v>
      </c>
      <c r="R12" s="36" t="s">
        <v>190</v>
      </c>
      <c r="S12" s="36">
        <v>0</v>
      </c>
      <c r="T12" s="36">
        <v>0</v>
      </c>
      <c r="U12" s="36">
        <v>0</v>
      </c>
      <c r="V12" s="36">
        <v>0.4</v>
      </c>
      <c r="Y12" s="168">
        <v>44783</v>
      </c>
      <c r="Z12" s="168">
        <v>44783</v>
      </c>
      <c r="AC12" s="36" t="s">
        <v>191</v>
      </c>
      <c r="AD12" s="36">
        <v>0</v>
      </c>
      <c r="AE12" s="36">
        <v>0</v>
      </c>
      <c r="AF12" s="36">
        <v>0</v>
      </c>
      <c r="AG12" s="36">
        <v>0</v>
      </c>
      <c r="AJ12" s="36">
        <v>0</v>
      </c>
      <c r="AK12" s="36">
        <v>0</v>
      </c>
      <c r="AL12" s="36">
        <v>0</v>
      </c>
      <c r="AM12" s="36">
        <v>0</v>
      </c>
      <c r="AN12" s="36">
        <v>0</v>
      </c>
      <c r="AO12" s="36">
        <v>0</v>
      </c>
      <c r="AP12" s="36">
        <v>0</v>
      </c>
      <c r="AQ12" s="36">
        <v>0</v>
      </c>
      <c r="AR12" s="36">
        <v>0</v>
      </c>
      <c r="AS12" s="36">
        <v>0</v>
      </c>
      <c r="AT12" s="36">
        <v>0</v>
      </c>
      <c r="AU12" s="36">
        <v>0</v>
      </c>
      <c r="AV12" s="36">
        <v>0</v>
      </c>
      <c r="AW12" s="36">
        <v>0</v>
      </c>
      <c r="AX12" s="36">
        <v>0</v>
      </c>
      <c r="AY12" s="36">
        <v>0</v>
      </c>
    </row>
    <row r="13" spans="1:51">
      <c r="A13" s="36" t="s">
        <v>180</v>
      </c>
      <c r="B13" s="36" t="s">
        <v>181</v>
      </c>
      <c r="C13" s="36">
        <v>12</v>
      </c>
      <c r="D13" s="36" t="s">
        <v>216</v>
      </c>
      <c r="E13" s="36" t="s">
        <v>217</v>
      </c>
      <c r="F13" s="36" t="s">
        <v>223</v>
      </c>
      <c r="G13" s="36" t="s">
        <v>224</v>
      </c>
      <c r="H13" s="36" t="s">
        <v>186</v>
      </c>
      <c r="I13" s="36" t="s">
        <v>187</v>
      </c>
      <c r="J13" s="36" t="s">
        <v>188</v>
      </c>
      <c r="K13" s="36">
        <v>0</v>
      </c>
      <c r="M13" s="36" t="s">
        <v>220</v>
      </c>
      <c r="N13" s="168">
        <v>44784</v>
      </c>
      <c r="O13" s="168">
        <v>44784</v>
      </c>
      <c r="P13" s="168">
        <v>44782</v>
      </c>
      <c r="Q13" s="168">
        <v>44782</v>
      </c>
      <c r="R13" s="36" t="s">
        <v>190</v>
      </c>
      <c r="S13" s="36">
        <v>0</v>
      </c>
      <c r="T13" s="36">
        <v>0</v>
      </c>
      <c r="U13" s="36">
        <v>0</v>
      </c>
      <c r="V13" s="36">
        <v>0.4</v>
      </c>
      <c r="Y13" s="168">
        <v>44782</v>
      </c>
      <c r="Z13" s="168">
        <v>44782</v>
      </c>
      <c r="AA13" s="168">
        <v>44782</v>
      </c>
      <c r="AB13" s="168">
        <v>44782</v>
      </c>
      <c r="AC13" s="36" t="s">
        <v>203</v>
      </c>
      <c r="AD13" s="36">
        <v>0</v>
      </c>
      <c r="AE13" s="36">
        <v>0</v>
      </c>
      <c r="AF13" s="36">
        <v>0</v>
      </c>
      <c r="AG13" s="36">
        <v>0.4</v>
      </c>
      <c r="AJ13" s="36">
        <v>0</v>
      </c>
      <c r="AK13" s="36">
        <v>0</v>
      </c>
      <c r="AL13" s="36">
        <v>0</v>
      </c>
      <c r="AM13" s="36">
        <v>0</v>
      </c>
      <c r="AN13" s="36">
        <v>0</v>
      </c>
      <c r="AO13" s="36">
        <v>0</v>
      </c>
      <c r="AP13" s="36">
        <v>0</v>
      </c>
      <c r="AQ13" s="36">
        <v>0</v>
      </c>
      <c r="AR13" s="36">
        <v>0</v>
      </c>
      <c r="AS13" s="36">
        <v>0</v>
      </c>
      <c r="AT13" s="36">
        <v>0</v>
      </c>
      <c r="AU13" s="36">
        <v>0</v>
      </c>
      <c r="AV13" s="36">
        <v>0</v>
      </c>
      <c r="AW13" s="36">
        <v>0</v>
      </c>
      <c r="AX13" s="36">
        <v>0</v>
      </c>
      <c r="AY13" s="36">
        <v>0</v>
      </c>
    </row>
    <row r="14" spans="1:51">
      <c r="A14" s="36" t="s">
        <v>180</v>
      </c>
      <c r="B14" s="36" t="s">
        <v>181</v>
      </c>
      <c r="C14" s="36">
        <v>13</v>
      </c>
      <c r="D14" s="36" t="s">
        <v>216</v>
      </c>
      <c r="E14" s="36" t="s">
        <v>217</v>
      </c>
      <c r="F14" s="36" t="s">
        <v>225</v>
      </c>
      <c r="G14" s="36" t="s">
        <v>226</v>
      </c>
      <c r="H14" s="36" t="s">
        <v>186</v>
      </c>
      <c r="I14" s="36" t="s">
        <v>187</v>
      </c>
      <c r="J14" s="36" t="s">
        <v>188</v>
      </c>
      <c r="K14" s="36">
        <v>0</v>
      </c>
      <c r="M14" s="36" t="s">
        <v>189</v>
      </c>
      <c r="N14" s="168">
        <v>44784</v>
      </c>
      <c r="O14" s="168">
        <v>44784</v>
      </c>
      <c r="P14" s="168">
        <v>44778</v>
      </c>
      <c r="Q14" s="168">
        <v>44778</v>
      </c>
      <c r="R14" s="36" t="s">
        <v>190</v>
      </c>
      <c r="S14" s="36">
        <v>0</v>
      </c>
      <c r="T14" s="36">
        <v>0</v>
      </c>
      <c r="U14" s="36">
        <v>0</v>
      </c>
      <c r="V14" s="36">
        <v>0.4</v>
      </c>
      <c r="Y14" s="168">
        <v>44783</v>
      </c>
      <c r="Z14" s="168">
        <v>44783</v>
      </c>
      <c r="AC14" s="36" t="s">
        <v>203</v>
      </c>
      <c r="AD14" s="36">
        <v>0</v>
      </c>
      <c r="AE14" s="36">
        <v>0</v>
      </c>
      <c r="AF14" s="36">
        <v>0</v>
      </c>
      <c r="AG14" s="36">
        <v>0</v>
      </c>
      <c r="AJ14" s="36">
        <v>0</v>
      </c>
      <c r="AK14" s="36">
        <v>0</v>
      </c>
      <c r="AL14" s="36">
        <v>0</v>
      </c>
      <c r="AM14" s="36">
        <v>0</v>
      </c>
      <c r="AN14" s="36">
        <v>0</v>
      </c>
      <c r="AO14" s="36">
        <v>0</v>
      </c>
      <c r="AP14" s="36">
        <v>0</v>
      </c>
      <c r="AQ14" s="36">
        <v>0</v>
      </c>
      <c r="AR14" s="36">
        <v>0</v>
      </c>
      <c r="AS14" s="36">
        <v>0</v>
      </c>
      <c r="AT14" s="36">
        <v>0</v>
      </c>
      <c r="AU14" s="36">
        <v>0</v>
      </c>
      <c r="AV14" s="36">
        <v>0</v>
      </c>
      <c r="AW14" s="36">
        <v>0</v>
      </c>
      <c r="AX14" s="36">
        <v>0</v>
      </c>
      <c r="AY14" s="36">
        <v>0</v>
      </c>
    </row>
    <row r="15" spans="1:51">
      <c r="A15" s="36" t="s">
        <v>180</v>
      </c>
      <c r="B15" s="36" t="s">
        <v>181</v>
      </c>
      <c r="C15" s="36">
        <v>14</v>
      </c>
      <c r="D15" s="36" t="s">
        <v>216</v>
      </c>
      <c r="E15" s="36" t="s">
        <v>217</v>
      </c>
      <c r="F15" s="36" t="s">
        <v>82</v>
      </c>
      <c r="G15" s="36" t="s">
        <v>227</v>
      </c>
      <c r="H15" s="36" t="s">
        <v>186</v>
      </c>
      <c r="I15" s="36" t="s">
        <v>187</v>
      </c>
      <c r="J15" s="36" t="s">
        <v>188</v>
      </c>
      <c r="K15" s="36">
        <v>0</v>
      </c>
      <c r="M15" s="36" t="s">
        <v>228</v>
      </c>
      <c r="N15" s="168">
        <v>44784</v>
      </c>
      <c r="O15" s="168">
        <v>44784</v>
      </c>
      <c r="P15" s="168">
        <v>44778</v>
      </c>
      <c r="Q15" s="168">
        <v>44778</v>
      </c>
      <c r="R15" s="36" t="s">
        <v>190</v>
      </c>
      <c r="S15" s="36">
        <v>0</v>
      </c>
      <c r="T15" s="36">
        <v>0</v>
      </c>
      <c r="U15" s="36">
        <v>0</v>
      </c>
      <c r="V15" s="36">
        <v>0.4</v>
      </c>
      <c r="Y15" s="168">
        <v>44782</v>
      </c>
      <c r="Z15" s="168">
        <v>44782</v>
      </c>
      <c r="AA15" s="168">
        <v>44782</v>
      </c>
      <c r="AB15" s="168">
        <v>44782</v>
      </c>
      <c r="AC15" s="36" t="s">
        <v>198</v>
      </c>
      <c r="AD15" s="36">
        <v>0</v>
      </c>
      <c r="AE15" s="36">
        <v>0</v>
      </c>
      <c r="AF15" s="36">
        <v>0</v>
      </c>
      <c r="AG15" s="36">
        <v>0.4</v>
      </c>
      <c r="AJ15" s="36">
        <v>0</v>
      </c>
      <c r="AK15" s="36">
        <v>0</v>
      </c>
      <c r="AL15" s="36">
        <v>0</v>
      </c>
      <c r="AM15" s="36">
        <v>0</v>
      </c>
      <c r="AN15" s="36">
        <v>0</v>
      </c>
      <c r="AO15" s="36">
        <v>0</v>
      </c>
      <c r="AP15" s="36">
        <v>0</v>
      </c>
      <c r="AQ15" s="36">
        <v>0</v>
      </c>
      <c r="AR15" s="36">
        <v>0</v>
      </c>
      <c r="AS15" s="36">
        <v>0</v>
      </c>
      <c r="AT15" s="36">
        <v>0</v>
      </c>
      <c r="AU15" s="36">
        <v>0</v>
      </c>
      <c r="AV15" s="36">
        <v>0</v>
      </c>
      <c r="AW15" s="36">
        <v>0</v>
      </c>
      <c r="AX15" s="36">
        <v>0</v>
      </c>
      <c r="AY15" s="36">
        <v>0</v>
      </c>
    </row>
    <row r="16" spans="1:51">
      <c r="A16" s="36" t="s">
        <v>180</v>
      </c>
      <c r="B16" s="36" t="s">
        <v>181</v>
      </c>
      <c r="C16" s="36">
        <v>15</v>
      </c>
      <c r="D16" s="36" t="s">
        <v>216</v>
      </c>
      <c r="E16" s="36" t="s">
        <v>217</v>
      </c>
      <c r="F16" s="36" t="s">
        <v>229</v>
      </c>
      <c r="G16" s="36" t="s">
        <v>230</v>
      </c>
      <c r="H16" s="36" t="s">
        <v>186</v>
      </c>
      <c r="I16" s="36" t="s">
        <v>187</v>
      </c>
      <c r="J16" s="36" t="s">
        <v>188</v>
      </c>
      <c r="K16" s="36">
        <v>0</v>
      </c>
      <c r="M16" s="36" t="s">
        <v>228</v>
      </c>
      <c r="N16" s="168">
        <v>44785</v>
      </c>
      <c r="O16" s="168">
        <v>44785</v>
      </c>
      <c r="P16" s="168">
        <v>44778</v>
      </c>
      <c r="Q16" s="168">
        <v>44778</v>
      </c>
      <c r="R16" s="36" t="s">
        <v>190</v>
      </c>
      <c r="S16" s="36">
        <v>0</v>
      </c>
      <c r="T16" s="36">
        <v>0</v>
      </c>
      <c r="U16" s="36">
        <v>0</v>
      </c>
      <c r="V16" s="36">
        <v>0.4</v>
      </c>
      <c r="Y16" s="168">
        <v>44783</v>
      </c>
      <c r="Z16" s="168">
        <v>44783</v>
      </c>
      <c r="AC16" s="36" t="s">
        <v>198</v>
      </c>
      <c r="AD16" s="36">
        <v>0</v>
      </c>
      <c r="AE16" s="36">
        <v>0</v>
      </c>
      <c r="AF16" s="36">
        <v>0</v>
      </c>
      <c r="AG16" s="36">
        <v>0</v>
      </c>
      <c r="AJ16" s="36">
        <v>0</v>
      </c>
      <c r="AK16" s="36">
        <v>0</v>
      </c>
      <c r="AL16" s="36">
        <v>0</v>
      </c>
      <c r="AM16" s="36">
        <v>0</v>
      </c>
      <c r="AN16" s="36">
        <v>0</v>
      </c>
      <c r="AO16" s="36">
        <v>0</v>
      </c>
      <c r="AP16" s="36">
        <v>0</v>
      </c>
      <c r="AQ16" s="36">
        <v>0</v>
      </c>
      <c r="AR16" s="36">
        <v>0</v>
      </c>
      <c r="AS16" s="36">
        <v>0</v>
      </c>
      <c r="AT16" s="36">
        <v>0</v>
      </c>
      <c r="AU16" s="36">
        <v>0</v>
      </c>
      <c r="AV16" s="36">
        <v>0</v>
      </c>
      <c r="AW16" s="36">
        <v>0</v>
      </c>
      <c r="AX16" s="36">
        <v>0</v>
      </c>
      <c r="AY16" s="36">
        <v>0</v>
      </c>
    </row>
    <row r="17" spans="1:51">
      <c r="A17" s="36" t="s">
        <v>180</v>
      </c>
      <c r="B17" s="36" t="s">
        <v>181</v>
      </c>
      <c r="C17" s="36">
        <v>16</v>
      </c>
      <c r="D17" s="36" t="s">
        <v>216</v>
      </c>
      <c r="E17" s="36" t="s">
        <v>217</v>
      </c>
      <c r="F17" s="36" t="s">
        <v>231</v>
      </c>
      <c r="G17" s="36" t="s">
        <v>232</v>
      </c>
      <c r="H17" s="36" t="s">
        <v>186</v>
      </c>
      <c r="I17" s="36" t="s">
        <v>187</v>
      </c>
      <c r="J17" s="36" t="s">
        <v>188</v>
      </c>
      <c r="K17" s="36">
        <v>0</v>
      </c>
      <c r="M17" s="36" t="s">
        <v>189</v>
      </c>
      <c r="N17" s="168">
        <v>44785</v>
      </c>
      <c r="O17" s="168">
        <v>44785</v>
      </c>
      <c r="P17" s="168">
        <v>44778</v>
      </c>
      <c r="Q17" s="168">
        <v>44778</v>
      </c>
      <c r="R17" s="36" t="s">
        <v>190</v>
      </c>
      <c r="S17" s="36">
        <v>0</v>
      </c>
      <c r="T17" s="36">
        <v>0</v>
      </c>
      <c r="U17" s="36">
        <v>0</v>
      </c>
      <c r="V17" s="36">
        <v>0.4</v>
      </c>
      <c r="Y17" s="168">
        <v>44784</v>
      </c>
      <c r="Z17" s="168">
        <v>44784</v>
      </c>
      <c r="AC17" s="36" t="s">
        <v>191</v>
      </c>
      <c r="AD17" s="36">
        <v>0</v>
      </c>
      <c r="AE17" s="36">
        <v>0</v>
      </c>
      <c r="AF17" s="36">
        <v>0</v>
      </c>
      <c r="AG17" s="36">
        <v>0</v>
      </c>
      <c r="AJ17" s="36">
        <v>0</v>
      </c>
      <c r="AK17" s="36">
        <v>0</v>
      </c>
      <c r="AL17" s="36">
        <v>0</v>
      </c>
      <c r="AM17" s="36">
        <v>0</v>
      </c>
      <c r="AN17" s="36">
        <v>0</v>
      </c>
      <c r="AO17" s="36">
        <v>0</v>
      </c>
      <c r="AP17" s="36">
        <v>0</v>
      </c>
      <c r="AQ17" s="36">
        <v>0</v>
      </c>
      <c r="AR17" s="36">
        <v>0</v>
      </c>
      <c r="AS17" s="36">
        <v>0</v>
      </c>
      <c r="AT17" s="36">
        <v>0</v>
      </c>
      <c r="AU17" s="36">
        <v>0</v>
      </c>
      <c r="AV17" s="36">
        <v>0</v>
      </c>
      <c r="AW17" s="36">
        <v>0</v>
      </c>
      <c r="AX17" s="36">
        <v>0</v>
      </c>
      <c r="AY17" s="36">
        <v>0</v>
      </c>
    </row>
    <row r="18" spans="1:51">
      <c r="A18" s="36" t="s">
        <v>180</v>
      </c>
      <c r="B18" s="36" t="s">
        <v>181</v>
      </c>
      <c r="C18" s="36">
        <v>17</v>
      </c>
      <c r="D18" s="36" t="s">
        <v>216</v>
      </c>
      <c r="E18" s="36" t="s">
        <v>217</v>
      </c>
      <c r="F18" s="36" t="s">
        <v>78</v>
      </c>
      <c r="G18" s="36" t="s">
        <v>233</v>
      </c>
      <c r="H18" s="36" t="s">
        <v>186</v>
      </c>
      <c r="I18" s="36" t="s">
        <v>187</v>
      </c>
      <c r="J18" s="36" t="s">
        <v>188</v>
      </c>
      <c r="K18" s="36">
        <v>0</v>
      </c>
      <c r="M18" s="36" t="s">
        <v>189</v>
      </c>
      <c r="N18" s="168">
        <v>44785</v>
      </c>
      <c r="O18" s="168">
        <v>44785</v>
      </c>
      <c r="P18" s="168">
        <v>44778</v>
      </c>
      <c r="Q18" s="168">
        <v>44778</v>
      </c>
      <c r="R18" s="36" t="s">
        <v>190</v>
      </c>
      <c r="S18" s="36">
        <v>0</v>
      </c>
      <c r="T18" s="36">
        <v>0</v>
      </c>
      <c r="U18" s="36">
        <v>0</v>
      </c>
      <c r="V18" s="36">
        <v>0.4</v>
      </c>
      <c r="Y18" s="168">
        <v>44785</v>
      </c>
      <c r="Z18" s="168">
        <v>44785</v>
      </c>
      <c r="AC18" s="36" t="s">
        <v>191</v>
      </c>
      <c r="AD18" s="36">
        <v>0</v>
      </c>
      <c r="AE18" s="36">
        <v>0</v>
      </c>
      <c r="AF18" s="36">
        <v>0</v>
      </c>
      <c r="AG18" s="36">
        <v>0</v>
      </c>
      <c r="AJ18" s="36">
        <v>0</v>
      </c>
      <c r="AK18" s="36">
        <v>0</v>
      </c>
      <c r="AL18" s="36">
        <v>0</v>
      </c>
      <c r="AM18" s="36">
        <v>0</v>
      </c>
      <c r="AN18" s="36">
        <v>0</v>
      </c>
      <c r="AO18" s="36">
        <v>0</v>
      </c>
      <c r="AP18" s="36">
        <v>0</v>
      </c>
      <c r="AQ18" s="36">
        <v>0</v>
      </c>
      <c r="AR18" s="36">
        <v>0</v>
      </c>
      <c r="AS18" s="36">
        <v>0</v>
      </c>
      <c r="AT18" s="36">
        <v>0</v>
      </c>
      <c r="AU18" s="36">
        <v>0</v>
      </c>
      <c r="AV18" s="36">
        <v>0</v>
      </c>
      <c r="AW18" s="36">
        <v>0</v>
      </c>
      <c r="AX18" s="36">
        <v>0</v>
      </c>
      <c r="AY18" s="36">
        <v>0</v>
      </c>
    </row>
  </sheetData>
  <phoneticPr fontId="2"/>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rgb="FFFF0000"/>
  </sheetPr>
  <dimension ref="B2:C9"/>
  <sheetViews>
    <sheetView workbookViewId="0">
      <selection activeCell="C24" sqref="C24"/>
    </sheetView>
  </sheetViews>
  <sheetFormatPr defaultColWidth="8.88671875" defaultRowHeight="13.5"/>
  <cols>
    <col min="1" max="1" width="8.88671875" style="1"/>
    <col min="2" max="2" width="18.5546875" style="1" bestFit="1" customWidth="1"/>
    <col min="3" max="3" width="49.33203125" style="1" bestFit="1" customWidth="1"/>
    <col min="4" max="16384" width="8.88671875" style="1"/>
  </cols>
  <sheetData>
    <row r="2" spans="2:3" ht="18.75">
      <c r="B2" s="194" t="s">
        <v>234</v>
      </c>
      <c r="C2" s="195" t="s">
        <v>235</v>
      </c>
    </row>
    <row r="3" spans="2:3" ht="18.75">
      <c r="B3" s="194" t="s">
        <v>236</v>
      </c>
      <c r="C3" s="196" t="s">
        <v>237</v>
      </c>
    </row>
    <row r="4" spans="2:3" ht="18.75">
      <c r="B4" s="194" t="s">
        <v>238</v>
      </c>
      <c r="C4" s="196" t="s">
        <v>239</v>
      </c>
    </row>
    <row r="5" spans="2:3" ht="18.75">
      <c r="B5" s="194" t="s">
        <v>240</v>
      </c>
      <c r="C5" s="197" t="s">
        <v>241</v>
      </c>
    </row>
    <row r="6" spans="2:3" ht="18.75">
      <c r="B6" s="194" t="s">
        <v>242</v>
      </c>
      <c r="C6" s="196" t="s">
        <v>243</v>
      </c>
    </row>
    <row r="7" spans="2:3" ht="18.75">
      <c r="B7" s="194" t="s">
        <v>244</v>
      </c>
      <c r="C7" s="197">
        <v>44782.829722222225</v>
      </c>
    </row>
    <row r="8" spans="2:3" ht="18.75">
      <c r="B8" s="194" t="s">
        <v>245</v>
      </c>
      <c r="C8" s="196"/>
    </row>
    <row r="9" spans="2:3" ht="18.75">
      <c r="B9" s="194" t="s">
        <v>246</v>
      </c>
      <c r="C9" s="196">
        <v>2</v>
      </c>
    </row>
  </sheetData>
  <phoneticPr fontId="2"/>
  <pageMargins left="0.7" right="0.7" top="0.75" bottom="0.75" header="0.3" footer="0.3"/>
  <pageSetup paperSize="0" orientation="portrait" horizontalDpi="0" verticalDpi="0" copies="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NotShowName">
                <anchor moveWithCells="1" sizeWithCells="1">
                  <from>
                    <xdr:col>2</xdr:col>
                    <xdr:colOff>123825</xdr:colOff>
                    <xdr:row>11</xdr:row>
                    <xdr:rowOff>19050</xdr:rowOff>
                  </from>
                  <to>
                    <xdr:col>2</xdr:col>
                    <xdr:colOff>1171575</xdr:colOff>
                    <xdr:row>13</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ShowName">
                <anchor moveWithCells="1" sizeWithCells="1">
                  <from>
                    <xdr:col>2</xdr:col>
                    <xdr:colOff>142875</xdr:colOff>
                    <xdr:row>14</xdr:row>
                    <xdr:rowOff>0</xdr:rowOff>
                  </from>
                  <to>
                    <xdr:col>2</xdr:col>
                    <xdr:colOff>1152525</xdr:colOff>
                    <xdr:row>16</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61</vt:i4>
      </vt:variant>
    </vt:vector>
  </HeadingPairs>
  <TitlesOfParts>
    <vt:vector size="65" baseType="lpstr">
      <vt:lpstr>プログラム進捗表</vt:lpstr>
      <vt:lpstr>使用の手引き</vt:lpstr>
      <vt:lpstr>データ</vt:lpstr>
      <vt:lpstr>管理</vt:lpstr>
      <vt:lpstr>DO確認者</vt:lpstr>
      <vt:lpstr>DO確認日</vt:lpstr>
      <vt:lpstr>DO完了STS</vt:lpstr>
      <vt:lpstr>DO現在進捗</vt:lpstr>
      <vt:lpstr>DO工数</vt:lpstr>
      <vt:lpstr>DO実績開始日</vt:lpstr>
      <vt:lpstr>DO実績終了日</vt:lpstr>
      <vt:lpstr>DO担当者</vt:lpstr>
      <vt:lpstr>DO予定開始日</vt:lpstr>
      <vt:lpstr>DO予定終了日</vt:lpstr>
      <vt:lpstr>JJPCLインタフェース</vt:lpstr>
      <vt:lpstr>JJPCL異常例外</vt:lpstr>
      <vt:lpstr>JJPCL限界境界</vt:lpstr>
      <vt:lpstr>JJPCL合計</vt:lpstr>
      <vt:lpstr>JJPCL正常</vt:lpstr>
      <vt:lpstr>JKPCLインタフェース</vt:lpstr>
      <vt:lpstr>JKPCL異常例外</vt:lpstr>
      <vt:lpstr>JKPCL限界境界</vt:lpstr>
      <vt:lpstr>JKPCL合計</vt:lpstr>
      <vt:lpstr>JKPCL正常</vt:lpstr>
      <vt:lpstr>MKPCLインタフェース</vt:lpstr>
      <vt:lpstr>MKPCL異常例外</vt:lpstr>
      <vt:lpstr>MKPCL限界境界</vt:lpstr>
      <vt:lpstr>MKPCL合計</vt:lpstr>
      <vt:lpstr>MKPCL正常</vt:lpstr>
      <vt:lpstr>PLAN確認者</vt:lpstr>
      <vt:lpstr>PLAN確認日</vt:lpstr>
      <vt:lpstr>PLAN完了STS</vt:lpstr>
      <vt:lpstr>PLAN現在進捗</vt:lpstr>
      <vt:lpstr>PLAN工数</vt:lpstr>
      <vt:lpstr>PLAN実績開始日</vt:lpstr>
      <vt:lpstr>PLAN実績終了日</vt:lpstr>
      <vt:lpstr>PLAN担当者</vt:lpstr>
      <vt:lpstr>PLAN予定開始日</vt:lpstr>
      <vt:lpstr>PLAN予定終了日</vt:lpstr>
      <vt:lpstr>プログラム進捗表!Print_Area</vt:lpstr>
      <vt:lpstr>使用の手引き!Print_Area</vt:lpstr>
      <vt:lpstr>シート番号</vt:lpstr>
      <vt:lpstr>プロジェクトCD</vt:lpstr>
      <vt:lpstr>プロジェクト名</vt:lpstr>
      <vt:lpstr>開始位置</vt:lpstr>
      <vt:lpstr>開発規模</vt:lpstr>
      <vt:lpstr>機能ID</vt:lpstr>
      <vt:lpstr>機能名称</vt:lpstr>
      <vt:lpstr>言語</vt:lpstr>
      <vt:lpstr>工程区分</vt:lpstr>
      <vt:lpstr>項番</vt:lpstr>
      <vt:lpstr>作成済CL件数</vt:lpstr>
      <vt:lpstr>実績規模</vt:lpstr>
      <vt:lpstr>取消</vt:lpstr>
      <vt:lpstr>種別</vt:lpstr>
      <vt:lpstr>終了位置</vt:lpstr>
      <vt:lpstr>対象外</vt:lpstr>
      <vt:lpstr>大分類</vt:lpstr>
      <vt:lpstr>中分類</vt:lpstr>
      <vt:lpstr>摘出バグ件数</vt:lpstr>
      <vt:lpstr>適用</vt:lpstr>
      <vt:lpstr>備考</vt:lpstr>
      <vt:lpstr>目標CL件数</vt:lpstr>
      <vt:lpstr>目標バグ件数</vt:lpstr>
      <vt:lpstr>優先度</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PJ推</dc:creator>
  <cp:keywords/>
  <dc:description/>
  <cp:lastModifiedBy>JINQI, DAI</cp:lastModifiedBy>
  <cp:revision/>
  <dcterms:created xsi:type="dcterms:W3CDTF">2018-06-21T00:47:54Z</dcterms:created>
  <dcterms:modified xsi:type="dcterms:W3CDTF">2024-06-12T07:51:26Z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70278751-13ae-49e7-8942-0e0ae950ce7a</vt:lpwstr>
  </property>
</Properties>
</file>