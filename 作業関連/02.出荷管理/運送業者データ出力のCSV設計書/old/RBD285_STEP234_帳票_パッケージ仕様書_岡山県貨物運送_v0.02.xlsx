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codeName="ThisWorkbook" defaultThemeVersion="124226"/>
  <xr:revisionPtr revIDLastSave="382" documentId="13_ncr:1_{1343DB12-EC92-4EA0-A14E-6D8D80F2D366}" xr6:coauthVersionLast="47" xr6:coauthVersionMax="47" xr10:uidLastSave="{03E2104D-26C4-4A6A-83DE-875660EBFC8E}"/>
  <bookViews>
    <workbookView xWindow="-27540" yWindow="3975" windowWidth="19185" windowHeight="11265" firstSheet="1" activeTab="2" xr2:uid="{00000000-000D-0000-FFFF-FFFF00000000}"/>
  </bookViews>
  <sheets>
    <sheet name="表紙" sheetId="17" r:id="rId1"/>
    <sheet name="更新履歴" sheetId="18" r:id="rId2"/>
    <sheet name="仕様概要" sheetId="1" r:id="rId3"/>
    <sheet name="【基本設計】マッピング" sheetId="21" r:id="rId4"/>
    <sheet name="設計概要" sheetId="24" r:id="rId5"/>
    <sheet name="マッピング定義" sheetId="4" r:id="rId6"/>
    <sheet name="岡山県貨物" sheetId="26" r:id="rId7"/>
    <sheet name="CSVイメージ" sheetId="23" r:id="rId8"/>
    <sheet name="選択リスト(非表示)" sheetId="12" state="hidden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" localSheetId="6" hidden="1">{"'表紙'!$A$1:$W$39"}</definedName>
    <definedName name="_" hidden="1">{"'表紙'!$A$1:$W$39"}</definedName>
    <definedName name="__" localSheetId="6" hidden="1">{"'表紙'!$A$1:$W$39"}</definedName>
    <definedName name="__" hidden="1">{"'表紙'!$A$1:$W$39"}</definedName>
    <definedName name="__a1" localSheetId="6" hidden="1">{"'表紙'!$A$1:$W$39"}</definedName>
    <definedName name="__a1" hidden="1">{"'表紙'!$A$1:$W$39"}</definedName>
    <definedName name="__e3" localSheetId="6" hidden="1">{"'表紙'!$A$1:$W$39"}</definedName>
    <definedName name="__e3" hidden="1">{"'表紙'!$A$1:$W$39"}</definedName>
    <definedName name="__e4" localSheetId="6" hidden="1">{"'表紙'!$A$1:$W$39"}</definedName>
    <definedName name="__e4" hidden="1">{"'表紙'!$A$1:$W$39"}</definedName>
    <definedName name="__e5" localSheetId="6" hidden="1">{"'表紙'!$A$1:$W$39"}</definedName>
    <definedName name="__e5" hidden="1">{"'表紙'!$A$1:$W$39"}</definedName>
    <definedName name="__key100" hidden="1">#REF!</definedName>
    <definedName name="__key3" hidden="1">#REF!</definedName>
    <definedName name="__t1" localSheetId="6" hidden="1">{"'表紙'!$A$1:$W$39"}</definedName>
    <definedName name="__t1" hidden="1">{"'表紙'!$A$1:$W$39"}</definedName>
    <definedName name="__t2" localSheetId="6" hidden="1">{"'表紙'!$A$1:$W$39"}</definedName>
    <definedName name="__t2" hidden="1">{"'表紙'!$A$1:$W$39"}</definedName>
    <definedName name="__t3" localSheetId="6" hidden="1">{"'表紙'!$A$1:$W$39"}</definedName>
    <definedName name="__t3" hidden="1">{"'表紙'!$A$1:$W$39"}</definedName>
    <definedName name="_1" localSheetId="6" hidden="1">{"'表紙'!$A$1:$W$39"}</definedName>
    <definedName name="_1" hidden="1">{"'表紙'!$A$1:$W$39"}</definedName>
    <definedName name="_1マスタ項目一覧_共通マスタ">#REF!</definedName>
    <definedName name="_2衣料品データ抽出_商品マスタ関連">#REF!</definedName>
    <definedName name="_3共通マスタ抽出_商品マスタ関連">#REF!</definedName>
    <definedName name="_4商品マスタ関連項目比較_共通2">#REF!</definedName>
    <definedName name="_5鳴尾浜ＤＣ抽出_取引先マスタ関連">#REF!</definedName>
    <definedName name="_6鳴尾浜ＤＣ抽出_所属マスタ関連">#REF!</definedName>
    <definedName name="_7鳴尾浜ＤＣ抽出_商品マスタ関連">#REF!</definedName>
    <definedName name="_8鳴尾浜ＤＣ抽出_商品マスタ関連">#REF!</definedName>
    <definedName name="_a1" localSheetId="6" hidden="1">{"'表紙'!$A$1:$W$39"}</definedName>
    <definedName name="_a1" hidden="1">{"'表紙'!$A$1:$W$39"}</definedName>
    <definedName name="_e3" localSheetId="6" hidden="1">{"'表紙'!$A$1:$W$39"}</definedName>
    <definedName name="_e3" hidden="1">{"'表紙'!$A$1:$W$39"}</definedName>
    <definedName name="_e4" localSheetId="6" hidden="1">{"'表紙'!$A$1:$W$39"}</definedName>
    <definedName name="_e4" hidden="1">{"'表紙'!$A$1:$W$39"}</definedName>
    <definedName name="_e5" localSheetId="6" hidden="1">{"'表紙'!$A$1:$W$39"}</definedName>
    <definedName name="_e5" hidden="1">{"'表紙'!$A$1:$W$39"}</definedName>
    <definedName name="_Fill" hidden="1">#REF!</definedName>
    <definedName name="_Key1" hidden="1">#REF!</definedName>
    <definedName name="_key100" hidden="1">#REF!</definedName>
    <definedName name="_Key2" hidden="1">'[1]現行月額(DSのみ)'!#REF!</definedName>
    <definedName name="_key3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Sort" hidden="1">#REF!</definedName>
    <definedName name="_t1" localSheetId="6" hidden="1">{"'表紙'!$A$1:$W$39"}</definedName>
    <definedName name="_t1" hidden="1">{"'表紙'!$A$1:$W$39"}</definedName>
    <definedName name="_t2" localSheetId="6" hidden="1">{"'表紙'!$A$1:$W$39"}</definedName>
    <definedName name="_t2" hidden="1">{"'表紙'!$A$1:$W$39"}</definedName>
    <definedName name="_t3" localSheetId="6" hidden="1">{"'表紙'!$A$1:$W$39"}</definedName>
    <definedName name="_t3" hidden="1">{"'表紙'!$A$1:$W$39"}</definedName>
    <definedName name="_Table2_In1" hidden="1">#REF!</definedName>
    <definedName name="_Table2_In2" hidden="1">#REF!</definedName>
    <definedName name="_Table2_Out" hidden="1">#REF!</definedName>
    <definedName name="aa" localSheetId="6" hidden="1">{"'表紙'!$A$1:$W$39"}</definedName>
    <definedName name="aa" hidden="1">{"'表紙'!$A$1:$W$39"}</definedName>
    <definedName name="ＡＢＣ" hidden="1">#REF!</definedName>
    <definedName name="Access_Button" hidden="1">"項目一覧_データ_List"</definedName>
    <definedName name="AccessDatabase" hidden="1">"I:\画面レイアウト\ｾﾝﾀｰ運用\項目一覧1.mdb"</definedName>
    <definedName name="ASD" localSheetId="6" hidden="1">{"'表紙'!$A$1:$W$39"}</definedName>
    <definedName name="ASD" hidden="1">{"'表紙'!$A$1:$W$39"}</definedName>
    <definedName name="Ｂ" localSheetId="6" hidden="1">{"'フローチャート'!$A$1:$AO$191"}</definedName>
    <definedName name="Ｂ" hidden="1">{"'フローチャート'!$A$1:$AO$191"}</definedName>
    <definedName name="bb" localSheetId="6" hidden="1">{"'表紙'!$A$1:$W$39"}</definedName>
    <definedName name="bb" hidden="1">{"'表紙'!$A$1:$W$39"}</definedName>
    <definedName name="BLPH1" hidden="1">[2]G_Yen!#REF!</definedName>
    <definedName name="d" localSheetId="6" hidden="1">{#N/A,#N/A,FALSE,"ＨＢＳＣＳＳ";#N/A,#N/A,FALSE,"原価管理表平田倉庫";#N/A,#N/A,FALSE,"原価管理表 日立印刷";#N/A,#N/A,FALSE,"原価管理合計表"}</definedName>
    <definedName name="d" hidden="1">{#N/A,#N/A,FALSE,"ＨＢＳＣＳＳ";#N/A,#N/A,FALSE,"原価管理表平田倉庫";#N/A,#N/A,FALSE,"原価管理表 日立印刷";#N/A,#N/A,FALSE,"原価管理合計表"}</definedName>
    <definedName name="dddd" localSheetId="6" hidden="1">{"'表紙'!$A$1:$W$39"}</definedName>
    <definedName name="dddd" hidden="1">{"'表紙'!$A$1:$W$39"}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" localSheetId="6" hidden="1">{"'フローチャート'!$A$1:$AO$191"}</definedName>
    <definedName name="e" hidden="1">{"'フローチャート'!$A$1:$AO$191"}</definedName>
    <definedName name="ECOM" localSheetId="3">#REF!</definedName>
    <definedName name="ECOM" localSheetId="4">#REF!</definedName>
    <definedName name="ECOM">#REF!</definedName>
    <definedName name="EDI" localSheetId="3">#REF!</definedName>
    <definedName name="EDI" localSheetId="4">#REF!</definedName>
    <definedName name="EDI">#REF!</definedName>
    <definedName name="ET" localSheetId="6" hidden="1">{"'フローチャート'!$A$1:$AO$191"}</definedName>
    <definedName name="ET" hidden="1">{"'フローチャート'!$A$1:$AO$191"}</definedName>
    <definedName name="ｆｆ" localSheetId="4">#REF!</definedName>
    <definedName name="ｆｆ">#REF!</definedName>
    <definedName name="ffff" localSheetId="6" hidden="1">{"'表紙'!$A$1:$W$39"}</definedName>
    <definedName name="ffff" hidden="1">{"'表紙'!$A$1:$W$39"}</definedName>
    <definedName name="gh" localSheetId="6" hidden="1">{"'表紙'!$A$1:$W$39"}</definedName>
    <definedName name="gh" hidden="1">{"'表紙'!$A$1:$W$39"}</definedName>
    <definedName name="HTML_C" localSheetId="6" hidden="1">{"'表紙'!$A$1:$W$39"}</definedName>
    <definedName name="HTML_C" hidden="1">{"'表紙'!$A$1:$W$39"}</definedName>
    <definedName name="HTML_CodePage" hidden="1">932</definedName>
    <definedName name="HTML_Control" localSheetId="6" hidden="1">{"'表紙'!$A$1:$W$39"}</definedName>
    <definedName name="HTML_Control" hidden="1">{"'表紙'!$A$1:$W$39"}</definedName>
    <definedName name="HTML_Control1" localSheetId="6" hidden="1">{"'フローチャート'!$A$1:$AO$191"}</definedName>
    <definedName name="HTML_Control1" hidden="1">{"'フローチャート'!$A$1:$AO$191"}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"'[ターゲット毎のツール選択(NT).xls]Sheet1'!$A$1:$E$22"</definedName>
    <definedName name="HTML1_10" hidden="1">"sugich@tokyo.se.fujitsu.co.jp"</definedName>
    <definedName name="HTML1_11" hidden="1">1</definedName>
    <definedName name="HTML1_12" hidden="1">"Y:\班共通\開発環境\環境\DOCUMENT\おすすめ\第３版(Win31,NT,95)\test.htm"</definedName>
    <definedName name="HTML1_2" hidden="1">1</definedName>
    <definedName name="HTML1_3" hidden="1">"ターゲット毎のツール選択(NT)"</definedName>
    <definedName name="HTML1_4" hidden="1">"ターゲット毎のツール選択(NT)"</definedName>
    <definedName name="HTML1_5" hidden="1">""</definedName>
    <definedName name="HTML1_6" hidden="1">-4146</definedName>
    <definedName name="HTML1_7" hidden="1">1</definedName>
    <definedName name="HTML1_8" hidden="1">"96/10/31"</definedName>
    <definedName name="HTML1_9" hidden="1">"杉本秀昭"</definedName>
    <definedName name="HTMLCount" hidden="1">1</definedName>
    <definedName name="KEN" localSheetId="4">#REF!</definedName>
    <definedName name="KEN">#REF!</definedName>
    <definedName name="Label1" localSheetId="4">#REF!</definedName>
    <definedName name="Label1">#REF!</definedName>
    <definedName name="lffl" localSheetId="6" hidden="1">{"'表紙'!$A$1:$W$39"}</definedName>
    <definedName name="lffl" hidden="1">{"'表紙'!$A$1:$W$39"}</definedName>
    <definedName name="MSG一覧">'[3]#REF'!$A$1:$E$65536</definedName>
    <definedName name="ooooo" localSheetId="6" hidden="1">{"'表紙'!$A$1:$W$39"}</definedName>
    <definedName name="ooooo" hidden="1">{"'表紙'!$A$1:$W$39"}</definedName>
    <definedName name="Page_Jump">[4]!Page_Jump</definedName>
    <definedName name="Page_Print">[4]!Page_Print</definedName>
    <definedName name="Page_SetUp">[4]!Page_SetUp</definedName>
    <definedName name="_xlnm.Print_Area" localSheetId="5">マッピング定義!$A$1:$BN$143</definedName>
    <definedName name="_xlnm.Print_Area" localSheetId="6">岡山県貨物!$A$1:$Q$57</definedName>
    <definedName name="_xlnm.Print_Area" localSheetId="2">仕様概要!$A$1:$BN$90</definedName>
    <definedName name="_xlnm.Print_Area" localSheetId="4">設計概要!$A$1:$BN$19</definedName>
    <definedName name="_xlnm.Print_Area" localSheetId="0">表紙!$A$1:$BJ$47</definedName>
    <definedName name="_xlnm.Print_Area">#REF!</definedName>
    <definedName name="_xlnm.Print_Titles" localSheetId="5">マッピング定義!$1:$3</definedName>
    <definedName name="_xlnm.Print_Titles" localSheetId="2">仕様概要!$1:$3</definedName>
    <definedName name="_xlnm.Print_Titles" localSheetId="4">設計概要!$1:$3</definedName>
    <definedName name="_xlnm.Print_Titles">#N/A</definedName>
    <definedName name="ｑｑｑｑ" localSheetId="6" hidden="1">{"'フローチャート'!$A$1:$AO$191"}</definedName>
    <definedName name="ｑｑｑｑ" hidden="1">{"'フローチャート'!$A$1:$AO$191"}</definedName>
    <definedName name="QWE" localSheetId="6" hidden="1">{"'表紙'!$A$1:$W$39"}</definedName>
    <definedName name="QWE" hidden="1">{"'表紙'!$A$1:$W$39"}</definedName>
    <definedName name="Sheet_Name_Get">[4]!Sheet_Name_Get</definedName>
    <definedName name="sheetprint" localSheetId="4">#REF!</definedName>
    <definedName name="sheetprint">#REF!</definedName>
    <definedName name="TAISEI" localSheetId="6" hidden="1">{"'表紙'!$A$1:$W$39"}</definedName>
    <definedName name="TAISEI" hidden="1">{"'表紙'!$A$1:$W$39"}</definedName>
    <definedName name="TAMA" localSheetId="4">#REF!</definedName>
    <definedName name="TAMA">#REF!</definedName>
    <definedName name="TEN" localSheetId="4">#REF!</definedName>
    <definedName name="TEN">#REF!</definedName>
    <definedName name="ＴＯＫＹＯ" hidden="1">#REF!</definedName>
    <definedName name="ｖｖｖ" localSheetId="6" hidden="1">{"'フローチャート'!$A$1:$AO$191"}</definedName>
    <definedName name="ｖｖｖ" hidden="1">{"'フローチャート'!$A$1:$AO$191"}</definedName>
    <definedName name="wrn.全シート印刷." localSheetId="6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x">[5]!x</definedName>
    <definedName name="ｘｘｘｘ" localSheetId="6" hidden="1">{"'表紙'!$A$1:$W$39"}</definedName>
    <definedName name="ｘｘｘｘ" hidden="1">{"'表紙'!$A$1:$W$39"}</definedName>
    <definedName name="yyyyy" localSheetId="6" hidden="1">{"'表紙'!$A$1:$W$39"}</definedName>
    <definedName name="yyyyy" hidden="1">{"'表紙'!$A$1:$W$39"}</definedName>
    <definedName name="z" localSheetId="6" hidden="1">{"'表紙'!$A$1:$W$39"}</definedName>
    <definedName name="z" hidden="1">{"'表紙'!$A$1:$W$39"}</definedName>
    <definedName name="zx" localSheetId="6" hidden="1">{#N/A,#N/A,FALSE,"ＨＢＳＣＳＳ";#N/A,#N/A,FALSE,"原価管理表平田倉庫";#N/A,#N/A,FALSE,"原価管理表 日立印刷";#N/A,#N/A,FALSE,"原価管理合計表"}</definedName>
    <definedName name="zx" hidden="1">{#N/A,#N/A,FALSE,"ＨＢＳＣＳＳ";#N/A,#N/A,FALSE,"原価管理表平田倉庫";#N/A,#N/A,FALSE,"原価管理表 日立印刷";#N/A,#N/A,FALSE,"原価管理合計表"}</definedName>
    <definedName name="zz" localSheetId="6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6" hidden="1">{"'表紙'!$A$1:$W$39"}</definedName>
    <definedName name="ああ" hidden="1">{"'表紙'!$A$1:$W$39"}</definedName>
    <definedName name="ああああ" localSheetId="6" hidden="1">{"'表紙'!$A$1:$W$39"}</definedName>
    <definedName name="ああああ" hidden="1">{"'表紙'!$A$1:$W$39"}</definedName>
    <definedName name="い" localSheetId="6" hidden="1">{"'フローチャート'!$A$1:$AO$191"}</definedName>
    <definedName name="い" hidden="1">{"'フローチャート'!$A$1:$AO$191"}</definedName>
    <definedName name="いいいい" localSheetId="6" hidden="1">{"'表紙'!$A$1:$W$39"}</definedName>
    <definedName name="いいいい" hidden="1">{"'表紙'!$A$1:$W$39"}</definedName>
    <definedName name="う" localSheetId="6" hidden="1">{"'機能一覧 Master'!$A$1:$I$56"}</definedName>
    <definedName name="う" hidden="1">{"'機能一覧 Master'!$A$1:$I$56"}</definedName>
    <definedName name="オプション" localSheetId="4">#REF!</definedName>
    <definedName name="オプション">#REF!</definedName>
    <definedName name="クエリー2">#REF!</definedName>
    <definedName name="グラフ" localSheetId="6" hidden="1">{"'表紙'!$A$1:$W$39"}</definedName>
    <definedName name="グラフ" hidden="1">{"'表紙'!$A$1:$W$39"}</definedName>
    <definedName name="コミニュケーション" localSheetId="6" hidden="1">{"'表紙'!$A$1:$W$39"}</definedName>
    <definedName name="コミニュケーション" hidden="1">{"'表紙'!$A$1:$W$39"}</definedName>
    <definedName name="コミニュケーション２" localSheetId="6" hidden="1">{"'表紙'!$A$1:$W$39"}</definedName>
    <definedName name="コミニュケーション２" hidden="1">{"'表紙'!$A$1:$W$39"}</definedName>
    <definedName name="ｺﾐﾆｭｹｰｼｮﾝ計画" localSheetId="6" hidden="1">{"'表紙'!$A$1:$W$39"}</definedName>
    <definedName name="ｺﾐﾆｭｹｰｼｮﾝ計画" hidden="1">{"'表紙'!$A$1:$W$39"}</definedName>
    <definedName name="サンプル" localSheetId="6" hidden="1">{"'表紙'!$A$1:$W$39"}</definedName>
    <definedName name="サンプル" hidden="1">{"'表紙'!$A$1:$W$39"}</definedName>
    <definedName name="シート" localSheetId="6" hidden="1">{"'表紙'!$A$1:$W$39"}</definedName>
    <definedName name="シート" hidden="1">{"'表紙'!$A$1:$W$39"}</definedName>
    <definedName name="シート１" localSheetId="6" hidden="1">{"'表紙'!$A$1:$W$39"}</definedName>
    <definedName name="シート１" hidden="1">{"'表紙'!$A$1:$W$39"}</definedName>
    <definedName name="シート選択見だし">"ラベル 5"</definedName>
    <definedName name="スケ" localSheetId="6" hidden="1">{"'表紙'!$A$1:$W$39"}</definedName>
    <definedName name="スケ" hidden="1">{"'表紙'!$A$1:$W$39"}</definedName>
    <definedName name="スケジュール" localSheetId="6" hidden="1">{"'表紙'!$A$1:$W$39"}</definedName>
    <definedName name="スケジュール" hidden="1">{"'表紙'!$A$1:$W$39"}</definedName>
    <definedName name="スケジュール１２" localSheetId="6" hidden="1">{"'表紙'!$A$1:$W$39"}</definedName>
    <definedName name="スケジュール１２" hidden="1">{"'表紙'!$A$1:$W$39"}</definedName>
    <definedName name="その他マスター">#REF!</definedName>
    <definedName name="たいうおう" localSheetId="6" hidden="1">{"'表紙'!$A$1:$W$39"}</definedName>
    <definedName name="たいうおう" hidden="1">{"'表紙'!$A$1:$W$39"}</definedName>
    <definedName name="チェックシート">#REF!</definedName>
    <definedName name="っっj" localSheetId="6" hidden="1">{"'表紙'!$A$1:$W$39"}</definedName>
    <definedName name="っっj" hidden="1">{"'表紙'!$A$1:$W$39"}</definedName>
    <definedName name="て">#REF!</definedName>
    <definedName name="ﾈｯﾄﾜｰｸ構成" localSheetId="6" hidden="1">{"'表紙'!$A$1:$W$39"}</definedName>
    <definedName name="ﾈｯﾄﾜｰｸ構成" hidden="1">{"'表紙'!$A$1:$W$39"}</definedName>
    <definedName name="ネトワーク構成" localSheetId="6" hidden="1">{"'表紙'!$A$1:$W$39"}</definedName>
    <definedName name="ネトワーク構成" hidden="1">{"'表紙'!$A$1:$W$39"}</definedName>
    <definedName name="パック形式">#REF!</definedName>
    <definedName name="ファイルアクセス図">#REF!</definedName>
    <definedName name="マスタ" localSheetId="6" hidden="1">{"'表紙'!$A$1:$W$39"}</definedName>
    <definedName name="マスタ" hidden="1">{"'表紙'!$A$1:$W$39"}</definedName>
    <definedName name="リスク" localSheetId="6" hidden="1">{"'表紙'!$A$1:$W$39"}</definedName>
    <definedName name="リスク" localSheetId="4">#REF!</definedName>
    <definedName name="リスク">#REF!</definedName>
    <definedName name="リピートボタン_Click" localSheetId="4">#REF!</definedName>
    <definedName name="リピートボタン_Click">#REF!</definedName>
    <definedName name="レベル" localSheetId="4">#REF!</definedName>
    <definedName name="レベル">#REF!</definedName>
    <definedName name="安全" localSheetId="6" hidden="1">{"'表紙'!$A$1:$W$39"}</definedName>
    <definedName name="安全" hidden="1">{"'表紙'!$A$1:$W$39"}</definedName>
    <definedName name="画面名表示" localSheetId="4">#REF!</definedName>
    <definedName name="画面名表示">#REF!</definedName>
    <definedName name="改革" localSheetId="6" hidden="1">{"'表紙'!$A$1:$W$39"}</definedName>
    <definedName name="改革" hidden="1">{"'表紙'!$A$1:$W$39"}</definedName>
    <definedName name="開発規模" localSheetId="6" hidden="1">{"'表紙'!$A$1:$W$39"}</definedName>
    <definedName name="開発規模" hidden="1">{"'表紙'!$A$1:$W$39"}</definedName>
    <definedName name="概算工数" localSheetId="4">#REF!</definedName>
    <definedName name="概算工数">#REF!</definedName>
    <definedName name="監視サーバ" localSheetId="6" hidden="1">{"'フローチャート'!$A$1:$AO$191"}</definedName>
    <definedName name="監視サーバ" hidden="1">{"'フローチャート'!$A$1:$AO$191"}</definedName>
    <definedName name="業態型別売場サブラインマスター">#REF!</definedName>
    <definedName name="計画" localSheetId="6" hidden="1">{"'表紙'!$A$1:$W$39"}</definedName>
    <definedName name="計画" hidden="1">{"'表紙'!$A$1:$W$39"}</definedName>
    <definedName name="検討" localSheetId="6" hidden="1">{"'表紙'!$A$1:$W$39"}</definedName>
    <definedName name="検討" hidden="1">{"'表紙'!$A$1:$W$39"}</definedName>
    <definedName name="検討資料" localSheetId="6" hidden="1">{"'表紙'!$A$1:$W$39"}</definedName>
    <definedName name="検討資料" hidden="1">{"'表紙'!$A$1:$W$39"}</definedName>
    <definedName name="構成" localSheetId="4">#REF!</definedName>
    <definedName name="構成">#REF!</definedName>
    <definedName name="項目一覧_データ_List">#REF!</definedName>
    <definedName name="仕入分類マスター">#REF!</definedName>
    <definedName name="事前機能定義" localSheetId="4">#REF!</definedName>
    <definedName name="事前機能定義">#REF!</definedName>
    <definedName name="実績ピボット">#REF!</definedName>
    <definedName name="実績週ピボット">#REF!</definedName>
    <definedName name="取引先マスタ関連項目比較_2">#REF!</definedName>
    <definedName name="制御情報更新" localSheetId="4">#REF!</definedName>
    <definedName name="制御情報更新">#REF!</definedName>
    <definedName name="責任体制" localSheetId="6" hidden="1">{"'表紙'!$A$1:$W$39"}</definedName>
    <definedName name="責任体制" hidden="1">{"'表紙'!$A$1:$W$39"}</definedName>
    <definedName name="責任分担" localSheetId="6" hidden="1">{"'表紙'!$A$1:$W$39"}</definedName>
    <definedName name="責任分担" hidden="1">{"'表紙'!$A$1:$W$39"}</definedName>
    <definedName name="全体" localSheetId="6" hidden="1">{"'表紙'!$A$1:$W$39"}</definedName>
    <definedName name="全体" hidden="1">{"'表紙'!$A$1:$W$39"}</definedName>
    <definedName name="総括" localSheetId="6" hidden="1">{"'表紙'!$A$1:$W$39"}</definedName>
    <definedName name="総括" hidden="1">{"'表紙'!$A$1:$W$39"}</definedName>
    <definedName name="体制" localSheetId="6" hidden="1">{"'表紙'!$A$1:$W$39"}</definedName>
    <definedName name="体制" hidden="1">{"'表紙'!$A$1:$W$39"}</definedName>
    <definedName name="体制表１" localSheetId="6" hidden="1">{"'表紙'!$A$1:$W$39"}</definedName>
    <definedName name="体制表１" hidden="1">{"'表紙'!$A$1:$W$39"}</definedName>
    <definedName name="代替案" localSheetId="4">#REF!</definedName>
    <definedName name="代替案">#REF!</definedName>
    <definedName name="東京都" localSheetId="6" hidden="1">{"'表紙'!$A$1:$W$39"}</definedName>
    <definedName name="東京都" hidden="1">{"'表紙'!$A$1:$W$39"}</definedName>
    <definedName name="得意先別ランク対応_ランク別" localSheetId="6" hidden="1">{"'表紙'!$A$1:$W$39"}</definedName>
    <definedName name="得意先別ランク対応_ランク別" hidden="1">{"'表紙'!$A$1:$W$39"}</definedName>
    <definedName name="判定" localSheetId="4">#REF!</definedName>
    <definedName name="判定">#REF!</definedName>
    <definedName name="標準作業" localSheetId="4">#REF!</definedName>
    <definedName name="標準作業">#REF!</definedName>
    <definedName name="品質" localSheetId="6" hidden="1">{"'表紙'!$A$1:$W$39"}</definedName>
    <definedName name="品質" hidden="1">{"'表紙'!$A$1:$W$39"}</definedName>
    <definedName name="変更">#REF!</definedName>
    <definedName name="予定ピボット">#REF!</definedName>
    <definedName name="予定週ピボット">#REF!</definedName>
    <definedName name="ー" localSheetId="6" hidden="1">{"'表紙'!$A$1:$W$39"}</definedName>
    <definedName name="ー" hidden="1">{"'表紙'!$A$1:$W$39"}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" i="24" l="1"/>
  <c r="R1" i="24"/>
  <c r="AD2" i="4" l="1"/>
  <c r="R2" i="24" l="1"/>
  <c r="H20" i="17" l="1"/>
  <c r="H17" i="17"/>
  <c r="AD1" i="4"/>
  <c r="R2" i="4"/>
  <c r="R1" i="4"/>
  <c r="G1" i="4"/>
  <c r="J2" i="18" a="1"/>
  <c r="J2" i="18" l="1"/>
  <c r="AF24" i="17" s="1"/>
</calcChain>
</file>

<file path=xl/sharedStrings.xml><?xml version="1.0" encoding="utf-8"?>
<sst xmlns="http://schemas.openxmlformats.org/spreadsheetml/2006/main" count="1191" uniqueCount="517">
  <si>
    <t>ミドリ安全　株式会社　DPSプロジェクトStep3-1</t>
    <rPh sb="3" eb="5">
      <t>アンゼン</t>
    </rPh>
    <rPh sb="6" eb="8">
      <t>カブシキ</t>
    </rPh>
    <rPh sb="8" eb="10">
      <t>カイシャ</t>
    </rPh>
    <phoneticPr fontId="4"/>
  </si>
  <si>
    <t>Ver：</t>
    <phoneticPr fontId="4"/>
  </si>
  <si>
    <t>プロジェクト名</t>
    <rPh sb="6" eb="7">
      <t>メイ</t>
    </rPh>
    <phoneticPr fontId="105"/>
  </si>
  <si>
    <t>DPSプロジェクト　Step3-1</t>
    <phoneticPr fontId="105"/>
  </si>
  <si>
    <t>バージョン</t>
    <phoneticPr fontId="105"/>
  </si>
  <si>
    <t>ドキュメント名称</t>
    <rPh sb="6" eb="8">
      <t>メイショウ</t>
    </rPh>
    <phoneticPr fontId="105"/>
  </si>
  <si>
    <t>ドキュメントID</t>
    <phoneticPr fontId="105"/>
  </si>
  <si>
    <t>要素名称</t>
    <rPh sb="0" eb="2">
      <t>ヨウソ</t>
    </rPh>
    <rPh sb="2" eb="4">
      <t>メイショウ</t>
    </rPh>
    <phoneticPr fontId="105"/>
  </si>
  <si>
    <t>管理チーム名</t>
    <rPh sb="0" eb="2">
      <t>カンリ</t>
    </rPh>
    <rPh sb="5" eb="6">
      <t>メイ</t>
    </rPh>
    <phoneticPr fontId="8"/>
  </si>
  <si>
    <t>WMS</t>
    <phoneticPr fontId="4"/>
  </si>
  <si>
    <t>Ver</t>
    <phoneticPr fontId="106"/>
  </si>
  <si>
    <t>作成/更新</t>
    <rPh sb="0" eb="2">
      <t>サクセイ</t>
    </rPh>
    <rPh sb="3" eb="5">
      <t>コウシン</t>
    </rPh>
    <phoneticPr fontId="4"/>
  </si>
  <si>
    <t>審査</t>
    <rPh sb="0" eb="2">
      <t>シンサ</t>
    </rPh>
    <phoneticPr fontId="4"/>
  </si>
  <si>
    <t>レビュー</t>
    <phoneticPr fontId="4"/>
  </si>
  <si>
    <t>更新内容</t>
    <rPh sb="2" eb="4">
      <t>ナイヨウ</t>
    </rPh>
    <phoneticPr fontId="8"/>
  </si>
  <si>
    <t>作成/更新日</t>
    <rPh sb="0" eb="2">
      <t>サクセイ</t>
    </rPh>
    <rPh sb="3" eb="6">
      <t>コウシンビ</t>
    </rPh>
    <phoneticPr fontId="8"/>
  </si>
  <si>
    <t>更新者</t>
    <rPh sb="0" eb="3">
      <t>コウシンシャ</t>
    </rPh>
    <phoneticPr fontId="8"/>
  </si>
  <si>
    <t>審査日</t>
    <rPh sb="0" eb="2">
      <t>シンサ</t>
    </rPh>
    <rPh sb="2" eb="3">
      <t>ビ</t>
    </rPh>
    <phoneticPr fontId="8"/>
  </si>
  <si>
    <t>審査者</t>
    <rPh sb="0" eb="2">
      <t>シンサ</t>
    </rPh>
    <rPh sb="2" eb="3">
      <t>シャ</t>
    </rPh>
    <phoneticPr fontId="8"/>
  </si>
  <si>
    <t>レビュー日</t>
    <rPh sb="4" eb="5">
      <t>ビ</t>
    </rPh>
    <phoneticPr fontId="8"/>
  </si>
  <si>
    <t>レビュー代表者</t>
    <rPh sb="4" eb="6">
      <t>ダイヒョウ</t>
    </rPh>
    <rPh sb="6" eb="7">
      <t>シャ</t>
    </rPh>
    <phoneticPr fontId="8"/>
  </si>
  <si>
    <t>ONEsLOGI
Cloud / WMS</t>
    <phoneticPr fontId="4"/>
  </si>
  <si>
    <t>パッケージ仕様書</t>
    <phoneticPr fontId="4"/>
  </si>
  <si>
    <t>業務ＩＤ</t>
    <rPh sb="0" eb="2">
      <t>ギョウム</t>
    </rPh>
    <phoneticPr fontId="4"/>
  </si>
  <si>
    <t>機能ＩＤ</t>
    <rPh sb="0" eb="2">
      <t>キノウ</t>
    </rPh>
    <phoneticPr fontId="4"/>
  </si>
  <si>
    <t>作者</t>
  </si>
  <si>
    <t>作成日</t>
    <phoneticPr fontId="4"/>
  </si>
  <si>
    <t>仕様概要</t>
    <phoneticPr fontId="3"/>
  </si>
  <si>
    <t>業務名称</t>
    <rPh sb="0" eb="2">
      <t>ギョウム</t>
    </rPh>
    <rPh sb="2" eb="4">
      <t>メイショウ</t>
    </rPh>
    <phoneticPr fontId="4"/>
  </si>
  <si>
    <t>機能名称</t>
    <rPh sb="0" eb="2">
      <t>キノウ</t>
    </rPh>
    <rPh sb="2" eb="4">
      <t>メイショウ</t>
    </rPh>
    <phoneticPr fontId="4"/>
  </si>
  <si>
    <t>更新者</t>
    <rPh sb="0" eb="2">
      <t>コウシン</t>
    </rPh>
    <phoneticPr fontId="4"/>
  </si>
  <si>
    <t>更新日</t>
  </si>
  <si>
    <t>１．機能概要</t>
    <rPh sb="2" eb="4">
      <t>キノウ</t>
    </rPh>
    <rPh sb="4" eb="6">
      <t>ガイヨウ</t>
    </rPh>
    <phoneticPr fontId="4"/>
  </si>
  <si>
    <t>利用者（Who）</t>
  </si>
  <si>
    <t>利用タイミング（When）</t>
    <phoneticPr fontId="7"/>
  </si>
  <si>
    <t>利用場所（Where）</t>
  </si>
  <si>
    <t>事務所</t>
    <rPh sb="0" eb="3">
      <t>ジムショ</t>
    </rPh>
    <phoneticPr fontId="3"/>
  </si>
  <si>
    <t>利用目的（Why）</t>
  </si>
  <si>
    <t>利用方法（How）</t>
  </si>
  <si>
    <t>処理内容（What）</t>
    <phoneticPr fontId="4"/>
  </si>
  <si>
    <t>処理前提／補足等</t>
    <phoneticPr fontId="4"/>
  </si>
  <si>
    <t>使用ボタン等</t>
    <phoneticPr fontId="4"/>
  </si>
  <si>
    <t xml:space="preserve"> </t>
    <phoneticPr fontId="3"/>
  </si>
  <si>
    <t>出力順</t>
    <phoneticPr fontId="3"/>
  </si>
  <si>
    <t>項目名</t>
    <rPh sb="0" eb="2">
      <t>コウモク</t>
    </rPh>
    <rPh sb="2" eb="3">
      <t>メイ</t>
    </rPh>
    <phoneticPr fontId="4"/>
  </si>
  <si>
    <t>テキスト</t>
  </si>
  <si>
    <t>中央寄せ</t>
  </si>
  <si>
    <t>日付</t>
  </si>
  <si>
    <t>明細</t>
    <phoneticPr fontId="4"/>
  </si>
  <si>
    <t>数値</t>
  </si>
  <si>
    <t>右寄せ</t>
  </si>
  <si>
    <t>【基本設計】マッピング</t>
    <phoneticPr fontId="4"/>
  </si>
  <si>
    <t>目的は新規テーブル・新規フィールド洗い出しのために作成</t>
    <rPh sb="0" eb="2">
      <t>モクテキ</t>
    </rPh>
    <rPh sb="3" eb="5">
      <t>シンキ</t>
    </rPh>
    <rPh sb="10" eb="12">
      <t>シンキ</t>
    </rPh>
    <rPh sb="17" eb="18">
      <t>アラ</t>
    </rPh>
    <rPh sb="19" eb="20">
      <t>ダ</t>
    </rPh>
    <rPh sb="25" eb="27">
      <t>サクセイ</t>
    </rPh>
    <phoneticPr fontId="4"/>
  </si>
  <si>
    <t>Groupby(改ページ条件)とOrderby(出力順)は仕様概要に記載済</t>
    <rPh sb="8" eb="9">
      <t>カイ</t>
    </rPh>
    <rPh sb="12" eb="14">
      <t>ジョウケン</t>
    </rPh>
    <rPh sb="24" eb="26">
      <t>シュツリョク</t>
    </rPh>
    <rPh sb="26" eb="27">
      <t>ジュン</t>
    </rPh>
    <rPh sb="34" eb="36">
      <t>キサイ</t>
    </rPh>
    <rPh sb="36" eb="37">
      <t>ズ</t>
    </rPh>
    <phoneticPr fontId="4"/>
  </si>
  <si>
    <t>NO</t>
    <phoneticPr fontId="4"/>
  </si>
  <si>
    <t>項目名</t>
    <phoneticPr fontId="4"/>
  </si>
  <si>
    <t>CD/名称</t>
    <rPh sb="3" eb="5">
      <t>メイショウ</t>
    </rPh>
    <phoneticPr fontId="4"/>
  </si>
  <si>
    <t>項目マッピング</t>
    <rPh sb="0" eb="2">
      <t>コウモク</t>
    </rPh>
    <phoneticPr fontId="4"/>
  </si>
  <si>
    <t>備考</t>
    <rPh sb="0" eb="2">
      <t>ビコウ</t>
    </rPh>
    <phoneticPr fontId="4"/>
  </si>
  <si>
    <t>検討事項</t>
    <rPh sb="0" eb="2">
      <t>ケントウ</t>
    </rPh>
    <rPh sb="2" eb="4">
      <t>ジコウ</t>
    </rPh>
    <phoneticPr fontId="4"/>
  </si>
  <si>
    <t>FROM</t>
    <phoneticPr fontId="4"/>
  </si>
  <si>
    <t>SELECT</t>
    <phoneticPr fontId="4"/>
  </si>
  <si>
    <t>その他条件</t>
    <rPh sb="2" eb="3">
      <t>タ</t>
    </rPh>
    <rPh sb="3" eb="5">
      <t>ジョウケン</t>
    </rPh>
    <phoneticPr fontId="4"/>
  </si>
  <si>
    <t>テーブル名</t>
    <rPh sb="4" eb="5">
      <t>メイ</t>
    </rPh>
    <phoneticPr fontId="4"/>
  </si>
  <si>
    <t>出力条件</t>
    <rPh sb="0" eb="2">
      <t>シュツリョク</t>
    </rPh>
    <rPh sb="2" eb="4">
      <t>ジョウケン</t>
    </rPh>
    <phoneticPr fontId="4"/>
  </si>
  <si>
    <t>抽出条件１</t>
    <rPh sb="0" eb="2">
      <t>チュウシュツ</t>
    </rPh>
    <rPh sb="2" eb="4">
      <t>ジョウケン</t>
    </rPh>
    <phoneticPr fontId="4"/>
  </si>
  <si>
    <t>抽出条件２</t>
    <rPh sb="0" eb="2">
      <t>チュウシュツ</t>
    </rPh>
    <rPh sb="2" eb="4">
      <t>ジョウケン</t>
    </rPh>
    <phoneticPr fontId="4"/>
  </si>
  <si>
    <t>抽出条件３</t>
    <rPh sb="0" eb="2">
      <t>チュウシュツ</t>
    </rPh>
    <rPh sb="2" eb="4">
      <t>ジョウケン</t>
    </rPh>
    <phoneticPr fontId="4"/>
  </si>
  <si>
    <t>抽出条件４</t>
    <rPh sb="0" eb="2">
      <t>チュウシュツ</t>
    </rPh>
    <rPh sb="2" eb="4">
      <t>ジョウケン</t>
    </rPh>
    <phoneticPr fontId="4"/>
  </si>
  <si>
    <t>-</t>
    <phoneticPr fontId="4"/>
  </si>
  <si>
    <t>マッピング定義</t>
    <phoneticPr fontId="4"/>
  </si>
  <si>
    <t>項目ID</t>
    <phoneticPr fontId="4"/>
  </si>
  <si>
    <t>マッピング</t>
    <phoneticPr fontId="4"/>
  </si>
  <si>
    <t>ヘッダ・フッタ区分</t>
    <rPh sb="7" eb="9">
      <t>クブン</t>
    </rPh>
    <phoneticPr fontId="9"/>
  </si>
  <si>
    <t>タイプ</t>
  </si>
  <si>
    <t>表示位置</t>
    <rPh sb="0" eb="2">
      <t>ヒョウジ</t>
    </rPh>
    <rPh sb="2" eb="4">
      <t>イチ</t>
    </rPh>
    <phoneticPr fontId="9"/>
  </si>
  <si>
    <t>ヘッダ</t>
    <phoneticPr fontId="9"/>
  </si>
  <si>
    <t>明細</t>
    <rPh sb="0" eb="2">
      <t>メイサイ</t>
    </rPh>
    <phoneticPr fontId="9"/>
  </si>
  <si>
    <t>フッタ</t>
    <phoneticPr fontId="9"/>
  </si>
  <si>
    <t>日時</t>
  </si>
  <si>
    <t>時刻</t>
  </si>
  <si>
    <t>画像</t>
  </si>
  <si>
    <t>CODE128</t>
  </si>
  <si>
    <t>NW-7</t>
  </si>
  <si>
    <t>バーコード(マスタ)</t>
  </si>
  <si>
    <t>ITF</t>
  </si>
  <si>
    <t>JAN</t>
  </si>
  <si>
    <t>CODE39</t>
  </si>
  <si>
    <t>出力順(DB項目名)</t>
    <rPh sb="6" eb="8">
      <t>コウモク</t>
    </rPh>
    <rPh sb="8" eb="9">
      <t>メイ</t>
    </rPh>
    <phoneticPr fontId="3"/>
  </si>
  <si>
    <t>２．CSVイメージ</t>
    <phoneticPr fontId="4"/>
  </si>
  <si>
    <t>■I/O関連図、CRUD図</t>
    <rPh sb="4" eb="6">
      <t>カンレン</t>
    </rPh>
    <rPh sb="6" eb="7">
      <t>ズ</t>
    </rPh>
    <rPh sb="12" eb="13">
      <t>ズ</t>
    </rPh>
    <phoneticPr fontId="8"/>
  </si>
  <si>
    <t>I/O関連図</t>
    <rPh sb="3" eb="6">
      <t>カンレンズ</t>
    </rPh>
    <phoneticPr fontId="3"/>
  </si>
  <si>
    <t>C</t>
    <phoneticPr fontId="3"/>
  </si>
  <si>
    <t>R</t>
    <phoneticPr fontId="3"/>
  </si>
  <si>
    <t>U</t>
    <phoneticPr fontId="3"/>
  </si>
  <si>
    <t>D</t>
    <phoneticPr fontId="3"/>
  </si>
  <si>
    <t>CSV出力</t>
    <rPh sb="3" eb="5">
      <t>シュツリョク</t>
    </rPh>
    <phoneticPr fontId="3"/>
  </si>
  <si>
    <t>パッケージ仕様書</t>
  </si>
  <si>
    <t>設計概要</t>
    <phoneticPr fontId="4"/>
  </si>
  <si>
    <t>１．処理概要</t>
  </si>
  <si>
    <t>■ファイル名取得</t>
    <rPh sb="5" eb="6">
      <t>メイ</t>
    </rPh>
    <rPh sb="6" eb="8">
      <t>シュトク</t>
    </rPh>
    <phoneticPr fontId="4"/>
  </si>
  <si>
    <t>・1-1で取得したファイル名＋出力日時(YYYYMMDDHHMMSS).csvをファイル名に設定する</t>
    <rPh sb="5" eb="7">
      <t>シュトク</t>
    </rPh>
    <rPh sb="13" eb="14">
      <t>メイ</t>
    </rPh>
    <rPh sb="15" eb="17">
      <t>シュツリョク</t>
    </rPh>
    <rPh sb="17" eb="19">
      <t>ニチジ</t>
    </rPh>
    <rPh sb="44" eb="45">
      <t>メイ</t>
    </rPh>
    <rPh sb="46" eb="48">
      <t>セッテイ</t>
    </rPh>
    <phoneticPr fontId="4"/>
  </si>
  <si>
    <t>■項目名ヘッダデータ取得</t>
    <rPh sb="1" eb="3">
      <t>コウモク</t>
    </rPh>
    <rPh sb="3" eb="4">
      <t>メイ</t>
    </rPh>
    <rPh sb="10" eb="12">
      <t>シュトク</t>
    </rPh>
    <phoneticPr fontId="4"/>
  </si>
  <si>
    <t>■明細データ取得</t>
    <rPh sb="1" eb="3">
      <t>メイサイ</t>
    </rPh>
    <rPh sb="6" eb="8">
      <t>シュトク</t>
    </rPh>
    <phoneticPr fontId="4"/>
  </si>
  <si>
    <t>・明細データを取得しファイルに出力する</t>
    <rPh sb="1" eb="3">
      <t>メイサイ</t>
    </rPh>
    <rPh sb="7" eb="9">
      <t>シュトク</t>
    </rPh>
    <rPh sb="15" eb="17">
      <t>シュツリョク</t>
    </rPh>
    <phoneticPr fontId="4"/>
  </si>
  <si>
    <t>１．データ取得</t>
    <phoneticPr fontId="4"/>
  </si>
  <si>
    <t>※</t>
    <phoneticPr fontId="4"/>
  </si>
  <si>
    <t>※項目名ヘッダは項目名ヘッダ以外の明細部項目名を表示する</t>
    <rPh sb="1" eb="3">
      <t>コウモク</t>
    </rPh>
    <rPh sb="3" eb="4">
      <t>メイ</t>
    </rPh>
    <rPh sb="8" eb="10">
      <t>コウモク</t>
    </rPh>
    <rPh sb="10" eb="11">
      <t>メイ</t>
    </rPh>
    <rPh sb="14" eb="16">
      <t>イガイ</t>
    </rPh>
    <rPh sb="17" eb="19">
      <t>メイサイ</t>
    </rPh>
    <rPh sb="19" eb="20">
      <t>ブ</t>
    </rPh>
    <rPh sb="20" eb="23">
      <t>コウモクメイ</t>
    </rPh>
    <rPh sb="24" eb="26">
      <t>ヒョウジ</t>
    </rPh>
    <phoneticPr fontId="4"/>
  </si>
  <si>
    <t>テーブルID</t>
  </si>
  <si>
    <t>テーブル名称</t>
    <rPh sb="4" eb="6">
      <t>メイショウ</t>
    </rPh>
    <phoneticPr fontId="3"/>
  </si>
  <si>
    <t>詳細設計内容を反映</t>
    <rPh sb="0" eb="4">
      <t>ショウサイセッケイ</t>
    </rPh>
    <rPh sb="4" eb="6">
      <t>ナイヨウ</t>
    </rPh>
    <rPh sb="7" eb="9">
      <t>ハンエイ</t>
    </rPh>
    <phoneticPr fontId="4"/>
  </si>
  <si>
    <t>作成日:2022/12/7</t>
    <phoneticPr fontId="8"/>
  </si>
  <si>
    <t>新レイアウト</t>
    <rPh sb="0" eb="1">
      <t>シン</t>
    </rPh>
    <phoneticPr fontId="8"/>
  </si>
  <si>
    <t>現行レイアウト</t>
    <rPh sb="0" eb="2">
      <t>ゲンコウ</t>
    </rPh>
    <phoneticPr fontId="8"/>
  </si>
  <si>
    <t>↓改修する仕様を記載する。</t>
    <rPh sb="1" eb="3">
      <t>カイシュウ</t>
    </rPh>
    <rPh sb="5" eb="7">
      <t>シヨウ</t>
    </rPh>
    <rPh sb="8" eb="10">
      <t>キサイ</t>
    </rPh>
    <phoneticPr fontId="8"/>
  </si>
  <si>
    <t>↓SS工程で記載する。</t>
    <rPh sb="3" eb="5">
      <t>コウテイ</t>
    </rPh>
    <rPh sb="6" eb="8">
      <t>キサイ</t>
    </rPh>
    <phoneticPr fontId="8"/>
  </si>
  <si>
    <t>データセット仕様</t>
    <phoneticPr fontId="8"/>
  </si>
  <si>
    <t>データ転送仕様(送信、全件送信)</t>
    <rPh sb="3" eb="5">
      <t>テンソウ</t>
    </rPh>
    <rPh sb="5" eb="7">
      <t>シヨウ</t>
    </rPh>
    <rPh sb="8" eb="10">
      <t>ソウシン</t>
    </rPh>
    <rPh sb="11" eb="13">
      <t>ゼンケン</t>
    </rPh>
    <rPh sb="13" eb="15">
      <t>ソウシン</t>
    </rPh>
    <phoneticPr fontId="8"/>
  </si>
  <si>
    <t>No</t>
    <phoneticPr fontId="8"/>
  </si>
  <si>
    <t>項目名</t>
    <rPh sb="0" eb="3">
      <t>コウモクメイ</t>
    </rPh>
    <phoneticPr fontId="8"/>
  </si>
  <si>
    <t>属性</t>
    <rPh sb="0" eb="2">
      <t>ゾクセイ</t>
    </rPh>
    <phoneticPr fontId="8"/>
  </si>
  <si>
    <t>桁数</t>
    <rPh sb="0" eb="2">
      <t>ケタスウ</t>
    </rPh>
    <phoneticPr fontId="8"/>
  </si>
  <si>
    <t>内容</t>
    <rPh sb="0" eb="2">
      <t>ナイヨウ</t>
    </rPh>
    <phoneticPr fontId="8"/>
  </si>
  <si>
    <t>現行</t>
    <phoneticPr fontId="8"/>
  </si>
  <si>
    <t>X</t>
    <phoneticPr fontId="8"/>
  </si>
  <si>
    <t>N</t>
    <phoneticPr fontId="8"/>
  </si>
  <si>
    <t>現行(半角空白×1)</t>
    <rPh sb="3" eb="5">
      <t>ハンカク</t>
    </rPh>
    <rPh sb="5" eb="7">
      <t>クウハク</t>
    </rPh>
    <phoneticPr fontId="8"/>
  </si>
  <si>
    <t>日立　袁</t>
    <rPh sb="0" eb="2">
      <t>ヒタチ</t>
    </rPh>
    <rPh sb="3" eb="4">
      <t>エン</t>
    </rPh>
    <phoneticPr fontId="4"/>
  </si>
  <si>
    <t>袁</t>
    <rPh sb="0" eb="1">
      <t>エン</t>
    </rPh>
    <phoneticPr fontId="3"/>
  </si>
  <si>
    <t>最大桁数(バイト)は、全角2バイト、半角1バイトとして、設定値以下のバイト数にしてください</t>
    <rPh sb="11" eb="13">
      <t>ゼンカク</t>
    </rPh>
    <rPh sb="18" eb="20">
      <t>ハンカク</t>
    </rPh>
    <rPh sb="28" eb="30">
      <t>セッテイ</t>
    </rPh>
    <rPh sb="30" eb="31">
      <t>アタイ</t>
    </rPh>
    <rPh sb="31" eb="33">
      <t>イカ</t>
    </rPh>
    <rPh sb="37" eb="38">
      <t>スウ</t>
    </rPh>
    <phoneticPr fontId="4"/>
  </si>
  <si>
    <r>
      <t>※</t>
    </r>
    <r>
      <rPr>
        <sz val="10"/>
        <rFont val="Meiryo UI"/>
        <family val="3"/>
        <charset val="128"/>
      </rPr>
      <t>の項目は、出来れば提供して頂きたい項目です</t>
    </r>
    <rPh sb="2" eb="4">
      <t>コウモク</t>
    </rPh>
    <rPh sb="6" eb="8">
      <t>デキ</t>
    </rPh>
    <rPh sb="10" eb="12">
      <t>テイキョウ</t>
    </rPh>
    <rPh sb="14" eb="15">
      <t>イタダ</t>
    </rPh>
    <rPh sb="18" eb="20">
      <t>コウモク</t>
    </rPh>
    <phoneticPr fontId="4"/>
  </si>
  <si>
    <t>また、発荷主が複数ある場合は、発荷主が判別できる内容が必要になります</t>
    <rPh sb="3" eb="4">
      <t>ハツ</t>
    </rPh>
    <rPh sb="4" eb="6">
      <t>ニヌシ</t>
    </rPh>
    <rPh sb="7" eb="9">
      <t>フクスウ</t>
    </rPh>
    <rPh sb="11" eb="13">
      <t>バアイ</t>
    </rPh>
    <rPh sb="15" eb="16">
      <t>ハツ</t>
    </rPh>
    <rPh sb="16" eb="18">
      <t>ニヌシ</t>
    </rPh>
    <rPh sb="19" eb="21">
      <t>ハンベツ</t>
    </rPh>
    <rPh sb="24" eb="26">
      <t>ナイヨウ</t>
    </rPh>
    <rPh sb="27" eb="29">
      <t>ヒツヨウ</t>
    </rPh>
    <phoneticPr fontId="4"/>
  </si>
  <si>
    <t>項目番号や最大桁数は標準取込ファイルとしての参考です。</t>
    <rPh sb="0" eb="2">
      <t>コウモク</t>
    </rPh>
    <rPh sb="2" eb="4">
      <t>バンゴウ</t>
    </rPh>
    <rPh sb="5" eb="7">
      <t>サイダイ</t>
    </rPh>
    <rPh sb="7" eb="9">
      <t>ケタスウ</t>
    </rPh>
    <rPh sb="10" eb="12">
      <t>ヒョウジュン</t>
    </rPh>
    <rPh sb="12" eb="14">
      <t>トリコミ</t>
    </rPh>
    <rPh sb="22" eb="24">
      <t>サンコウ</t>
    </rPh>
    <phoneticPr fontId="4"/>
  </si>
  <si>
    <t>必須列にチェックが入っている項目が、必須項目です</t>
    <rPh sb="0" eb="2">
      <t>ヒッス</t>
    </rPh>
    <rPh sb="2" eb="3">
      <t>レツ</t>
    </rPh>
    <rPh sb="9" eb="10">
      <t>ハイ</t>
    </rPh>
    <rPh sb="14" eb="16">
      <t>コウモク</t>
    </rPh>
    <rPh sb="18" eb="20">
      <t>ヒッス</t>
    </rPh>
    <rPh sb="20" eb="22">
      <t>コウモク</t>
    </rPh>
    <phoneticPr fontId="4"/>
  </si>
  <si>
    <t>0:通常</t>
    <phoneticPr fontId="8"/>
  </si>
  <si>
    <t>「0:通常」固定</t>
    <rPh sb="3" eb="5">
      <t>ツウジョウ</t>
    </rPh>
    <rPh sb="6" eb="8">
      <t>コテイ</t>
    </rPh>
    <phoneticPr fontId="4"/>
  </si>
  <si>
    <t>テキスト型</t>
    <rPh sb="4" eb="5">
      <t>ガタ</t>
    </rPh>
    <phoneticPr fontId="4"/>
  </si>
  <si>
    <t>1:元払</t>
    <phoneticPr fontId="8"/>
  </si>
  <si>
    <t>「1:元払」固定</t>
    <rPh sb="3" eb="5">
      <t>モトバラ</t>
    </rPh>
    <rPh sb="6" eb="8">
      <t>コテイ</t>
    </rPh>
    <phoneticPr fontId="4"/>
  </si>
  <si>
    <t>半角空白×1</t>
    <phoneticPr fontId="8"/>
  </si>
  <si>
    <t>（オカケン用)</t>
    <rPh sb="5" eb="6">
      <t>ヨウ</t>
    </rPh>
    <phoneticPr fontId="4"/>
  </si>
  <si>
    <t>送り状ＮＯ</t>
    <phoneticPr fontId="8"/>
  </si>
  <si>
    <t>現行(12バイト固定長に編集、先頭ゼロ埋めしているが、ゼロ埋めせず、以下とする。)
・NXトランスポート:11バイト
・岡山県貨物:10バイト</t>
    <rPh sb="8" eb="11">
      <t>コテイチョウ</t>
    </rPh>
    <rPh sb="12" eb="14">
      <t>ヘンシュウ</t>
    </rPh>
    <rPh sb="15" eb="17">
      <t>セントウ</t>
    </rPh>
    <rPh sb="19" eb="20">
      <t>ウ</t>
    </rPh>
    <rPh sb="29" eb="30">
      <t>ウ</t>
    </rPh>
    <rPh sb="34" eb="36">
      <t>イカ</t>
    </rPh>
    <phoneticPr fontId="8"/>
  </si>
  <si>
    <r>
      <t>（オカケン用)　</t>
    </r>
    <r>
      <rPr>
        <sz val="10"/>
        <color indexed="10"/>
        <rFont val="Meiryo UI"/>
        <family val="3"/>
        <charset val="128"/>
      </rPr>
      <t>御社で番号を採番される場合は必須</t>
    </r>
    <rPh sb="5" eb="6">
      <t>ヨウ</t>
    </rPh>
    <rPh sb="8" eb="10">
      <t>オンシャ</t>
    </rPh>
    <rPh sb="11" eb="13">
      <t>バンゴウ</t>
    </rPh>
    <rPh sb="14" eb="15">
      <t>サイ</t>
    </rPh>
    <rPh sb="15" eb="16">
      <t>バン</t>
    </rPh>
    <rPh sb="19" eb="21">
      <t>バアイ</t>
    </rPh>
    <rPh sb="22" eb="24">
      <t>ヒッス</t>
    </rPh>
    <phoneticPr fontId="4"/>
  </si>
  <si>
    <r>
      <rPr>
        <sz val="10"/>
        <color rgb="FF0070C0"/>
        <rFont val="Meiryo UI"/>
        <family val="3"/>
        <charset val="128"/>
      </rPr>
      <t>11 or</t>
    </r>
    <r>
      <rPr>
        <sz val="10"/>
        <rFont val="Meiryo UI"/>
        <family val="3"/>
        <charset val="128"/>
      </rPr>
      <t xml:space="preserve"> 10</t>
    </r>
    <phoneticPr fontId="8"/>
  </si>
  <si>
    <t>送り状№</t>
    <phoneticPr fontId="8"/>
  </si>
  <si>
    <t>　</t>
  </si>
  <si>
    <t>　時分　　（指定無時はZERO）</t>
    <phoneticPr fontId="8"/>
  </si>
  <si>
    <t>配達指定時間</t>
    <phoneticPr fontId="8"/>
  </si>
  <si>
    <t>荷揃管理データ.指定From時間(hhmm)
荷揃管理データ.指定To時間(hhmm)
が0900-1200の場合に"AM必着"をセット
それ以外の場合は半角空白×1</t>
    <rPh sb="55" eb="57">
      <t>バアイ</t>
    </rPh>
    <rPh sb="71" eb="73">
      <t>イガイ</t>
    </rPh>
    <rPh sb="74" eb="76">
      <t>バアイ</t>
    </rPh>
    <rPh sb="77" eb="79">
      <t>ハンカク</t>
    </rPh>
    <rPh sb="79" eb="81">
      <t>クウハク</t>
    </rPh>
    <phoneticPr fontId="8"/>
  </si>
  <si>
    <t>（「AM必着」など)</t>
    <rPh sb="4" eb="6">
      <t>ヒッチャク</t>
    </rPh>
    <phoneticPr fontId="4"/>
  </si>
  <si>
    <t>納期詳細</t>
  </si>
  <si>
    <t>　月日　　（指定無時はZERO）</t>
    <phoneticPr fontId="8"/>
  </si>
  <si>
    <t>配達指定日</t>
  </si>
  <si>
    <t>現行(3桁目～4桁目)</t>
    <phoneticPr fontId="8"/>
  </si>
  <si>
    <t>dd</t>
    <phoneticPr fontId="4"/>
  </si>
  <si>
    <t>数値型</t>
    <rPh sb="0" eb="2">
      <t>スウチ</t>
    </rPh>
    <rPh sb="2" eb="3">
      <t>ガタ</t>
    </rPh>
    <phoneticPr fontId="4"/>
  </si>
  <si>
    <t>納期(日)</t>
  </si>
  <si>
    <t>現行(1桁目～2桁目)</t>
    <phoneticPr fontId="8"/>
  </si>
  <si>
    <t>mm</t>
    <phoneticPr fontId="4"/>
  </si>
  <si>
    <t>納期(月)</t>
  </si>
  <si>
    <t>未使用</t>
    <rPh sb="0" eb="3">
      <t>ミシヨウ</t>
    </rPh>
    <phoneticPr fontId="8"/>
  </si>
  <si>
    <t>　ANKの時　X（４０）　　</t>
    <phoneticPr fontId="8"/>
  </si>
  <si>
    <t>記事⑥</t>
    <phoneticPr fontId="8"/>
  </si>
  <si>
    <t>現行(全角空白×1)</t>
    <phoneticPr fontId="8"/>
  </si>
  <si>
    <t>記事⑤</t>
    <phoneticPr fontId="8"/>
  </si>
  <si>
    <t>現行(全角空白×1)</t>
    <rPh sb="3" eb="5">
      <t>ゼンカク</t>
    </rPh>
    <phoneticPr fontId="8"/>
  </si>
  <si>
    <t>荷揃管理データ.摘要備考２</t>
    <phoneticPr fontId="8"/>
  </si>
  <si>
    <t>記事④</t>
    <phoneticPr fontId="8"/>
  </si>
  <si>
    <t>記事欄4</t>
  </si>
  <si>
    <t>荷揃管理データ.摘要備考１</t>
    <phoneticPr fontId="8"/>
  </si>
  <si>
    <t>記事③</t>
    <phoneticPr fontId="8"/>
  </si>
  <si>
    <t>記事欄3</t>
  </si>
  <si>
    <t>荷揃管理データ.摘要送り状２</t>
    <phoneticPr fontId="8"/>
  </si>
  <si>
    <t>記事②</t>
    <phoneticPr fontId="8"/>
  </si>
  <si>
    <t>記事欄2</t>
  </si>
  <si>
    <t>荷揃管理データ.摘要送り状１</t>
    <phoneticPr fontId="8"/>
  </si>
  <si>
    <t>　ANKの時　X（４０）　　　（各運送業者の印字可能桁数分）</t>
    <phoneticPr fontId="8"/>
  </si>
  <si>
    <t>記事①</t>
    <phoneticPr fontId="8"/>
  </si>
  <si>
    <t>記事欄1</t>
  </si>
  <si>
    <t>0(現行の重量区分はKg固定)</t>
    <rPh sb="2" eb="4">
      <t>ゲンコウ</t>
    </rPh>
    <rPh sb="12" eb="14">
      <t>コテイ</t>
    </rPh>
    <phoneticPr fontId="8"/>
  </si>
  <si>
    <t>重量(才)</t>
    <phoneticPr fontId="8"/>
  </si>
  <si>
    <t>総重量</t>
    <phoneticPr fontId="8"/>
  </si>
  <si>
    <t>重量はKgまたは才のいずれかを使用</t>
    <rPh sb="0" eb="2">
      <t>ジュウリョウ</t>
    </rPh>
    <rPh sb="8" eb="9">
      <t>サイ</t>
    </rPh>
    <rPh sb="15" eb="17">
      <t>シヨウ</t>
    </rPh>
    <phoneticPr fontId="4"/>
  </si>
  <si>
    <t>重量(Kg)</t>
  </si>
  <si>
    <t>✔</t>
  </si>
  <si>
    <t>総個数</t>
    <phoneticPr fontId="8"/>
  </si>
  <si>
    <t>個数</t>
  </si>
  <si>
    <t>荷受人カナ名称</t>
  </si>
  <si>
    <r>
      <t>半角</t>
    </r>
    <r>
      <rPr>
        <sz val="10"/>
        <color indexed="10"/>
        <rFont val="Meiryo UI"/>
        <family val="3"/>
        <charset val="128"/>
      </rPr>
      <t>※</t>
    </r>
    <rPh sb="0" eb="2">
      <t>ハンカク</t>
    </rPh>
    <phoneticPr fontId="4"/>
  </si>
  <si>
    <r>
      <t>半角(ハイフン含まず）</t>
    </r>
    <r>
      <rPr>
        <sz val="10"/>
        <color indexed="10"/>
        <rFont val="Meiryo UI"/>
        <family val="3"/>
        <charset val="128"/>
      </rPr>
      <t>※</t>
    </r>
    <rPh sb="0" eb="2">
      <t>ハンカク</t>
    </rPh>
    <rPh sb="7" eb="8">
      <t>フク</t>
    </rPh>
    <phoneticPr fontId="4"/>
  </si>
  <si>
    <t>荷受人電話番号</t>
    <phoneticPr fontId="8"/>
  </si>
  <si>
    <r>
      <t>半角(ハイフン含む）</t>
    </r>
    <r>
      <rPr>
        <sz val="10"/>
        <color indexed="10"/>
        <rFont val="Meiryo UI"/>
        <family val="3"/>
        <charset val="128"/>
      </rPr>
      <t>※</t>
    </r>
    <rPh sb="0" eb="2">
      <t>ハンカク</t>
    </rPh>
    <rPh sb="7" eb="8">
      <t>フク</t>
    </rPh>
    <phoneticPr fontId="4"/>
  </si>
  <si>
    <t>出荷先℡</t>
  </si>
  <si>
    <t>荷受人住所③</t>
    <phoneticPr fontId="8"/>
  </si>
  <si>
    <t>現行(荷受人住所①+荷受人住所②+荷受人住所③の1バイト～30バイト)</t>
    <rPh sb="0" eb="2">
      <t>ゲンコウ</t>
    </rPh>
    <phoneticPr fontId="8"/>
  </si>
  <si>
    <t>出荷先住所3</t>
  </si>
  <si>
    <t>荷受人住所②</t>
    <phoneticPr fontId="8"/>
  </si>
  <si>
    <t>出荷先住所2</t>
  </si>
  <si>
    <t>荷受人住所①</t>
    <phoneticPr fontId="8"/>
  </si>
  <si>
    <t>出荷先住所1</t>
    <phoneticPr fontId="8"/>
  </si>
  <si>
    <t>荷受人名称②</t>
    <phoneticPr fontId="8"/>
  </si>
  <si>
    <t>現行(荷受人名称①+荷受人名称②の31バイト～60バイト)</t>
    <rPh sb="0" eb="2">
      <t>ゲンコウ</t>
    </rPh>
    <phoneticPr fontId="8"/>
  </si>
  <si>
    <t>出荷先名2</t>
  </si>
  <si>
    <t>荷受人名称①</t>
    <phoneticPr fontId="8"/>
  </si>
  <si>
    <t>現行(荷受人名称①+荷受人名称②の1バイト～30バイト)</t>
    <rPh sb="0" eb="2">
      <t>ゲンコウ</t>
    </rPh>
    <phoneticPr fontId="8"/>
  </si>
  <si>
    <t>出荷先名1</t>
    <phoneticPr fontId="8"/>
  </si>
  <si>
    <t>半角</t>
    <rPh sb="0" eb="2">
      <t>ハンカク</t>
    </rPh>
    <phoneticPr fontId="4"/>
  </si>
  <si>
    <t>半角（請求を分けるコード）</t>
    <rPh sb="0" eb="2">
      <t>ハンカク</t>
    </rPh>
    <rPh sb="3" eb="5">
      <t>セイキュウ</t>
    </rPh>
    <rPh sb="6" eb="7">
      <t>ワ</t>
    </rPh>
    <phoneticPr fontId="4"/>
  </si>
  <si>
    <t>半角（ハイフン含まず）</t>
    <rPh sb="0" eb="2">
      <t>ハンカク</t>
    </rPh>
    <rPh sb="7" eb="8">
      <t>フク</t>
    </rPh>
    <phoneticPr fontId="4"/>
  </si>
  <si>
    <t>ハイフン付</t>
    <phoneticPr fontId="8"/>
  </si>
  <si>
    <t>電話番号</t>
  </si>
  <si>
    <t>半角(ハイフン含む）</t>
    <rPh sb="0" eb="2">
      <t>ハンカク</t>
    </rPh>
    <rPh sb="7" eb="8">
      <t>フク</t>
    </rPh>
    <phoneticPr fontId="4"/>
  </si>
  <si>
    <t>発荷主℡</t>
  </si>
  <si>
    <t>出荷主住所③</t>
    <phoneticPr fontId="8"/>
  </si>
  <si>
    <t>現行(出荷主住所①+出荷主住所②+出荷主住所③の61バイト～90バイト)</t>
    <rPh sb="0" eb="2">
      <t>ゲンコウ</t>
    </rPh>
    <phoneticPr fontId="8"/>
  </si>
  <si>
    <t>発荷主住所3</t>
  </si>
  <si>
    <t>出荷主住所②</t>
    <phoneticPr fontId="8"/>
  </si>
  <si>
    <t>現行(出荷主住所①+出荷主住所②+出荷主住所③の31バイト～60バイト)</t>
    <rPh sb="0" eb="2">
      <t>ゲンコウ</t>
    </rPh>
    <phoneticPr fontId="8"/>
  </si>
  <si>
    <t>発荷主住所2</t>
  </si>
  <si>
    <t>出荷主住所①</t>
    <phoneticPr fontId="8"/>
  </si>
  <si>
    <t>現行(出荷主住所①+出荷主住所②+出荷主住所③の1バイト～30バイト)</t>
    <rPh sb="0" eb="2">
      <t>ゲンコウ</t>
    </rPh>
    <phoneticPr fontId="8"/>
  </si>
  <si>
    <t>発荷主住所1</t>
  </si>
  <si>
    <t>出荷主名称②</t>
    <phoneticPr fontId="8"/>
  </si>
  <si>
    <t>現行(出荷主名称①+出荷主名称②の31バイト～60バイト)</t>
    <rPh sb="0" eb="2">
      <t>ゲンコウ</t>
    </rPh>
    <phoneticPr fontId="8"/>
  </si>
  <si>
    <t>発荷主名2</t>
  </si>
  <si>
    <t>出荷主名称①</t>
    <phoneticPr fontId="8"/>
  </si>
  <si>
    <t>現行(出荷主名称①+出荷主名称②の1バイト～30バイト)</t>
    <rPh sb="0" eb="2">
      <t>ゲンコウ</t>
    </rPh>
    <phoneticPr fontId="8"/>
  </si>
  <si>
    <t>発荷主名1</t>
  </si>
  <si>
    <t>左詰め　　（各運送業者の桁数分設定）</t>
    <rPh sb="0" eb="1">
      <t>ヒダリ</t>
    </rPh>
    <rPh sb="1" eb="2">
      <t>ツ</t>
    </rPh>
    <rPh sb="6" eb="7">
      <t>カク</t>
    </rPh>
    <rPh sb="7" eb="9">
      <t>ウンソウ</t>
    </rPh>
    <rPh sb="9" eb="11">
      <t>ギョウシャ</t>
    </rPh>
    <rPh sb="12" eb="14">
      <t>ケタスウ</t>
    </rPh>
    <rPh sb="14" eb="15">
      <t>ブン</t>
    </rPh>
    <rPh sb="15" eb="17">
      <t>セッテイ</t>
    </rPh>
    <phoneticPr fontId="8"/>
  </si>
  <si>
    <t>出荷主コード</t>
    <phoneticPr fontId="8"/>
  </si>
  <si>
    <t xml:space="preserve">半角 </t>
    <rPh sb="0" eb="2">
      <t>ハンカク</t>
    </rPh>
    <phoneticPr fontId="4"/>
  </si>
  <si>
    <t>発荷主コード</t>
  </si>
  <si>
    <t>西暦　ＹＹＹＹＭＭＤＤ</t>
    <phoneticPr fontId="8"/>
  </si>
  <si>
    <t>発送日</t>
    <phoneticPr fontId="8"/>
  </si>
  <si>
    <t>現行の発送日</t>
    <rPh sb="3" eb="5">
      <t>ハッソウ</t>
    </rPh>
    <rPh sb="5" eb="6">
      <t>ヒ</t>
    </rPh>
    <phoneticPr fontId="8"/>
  </si>
  <si>
    <t>yyyymmdd</t>
    <phoneticPr fontId="4"/>
  </si>
  <si>
    <t>出荷日</t>
  </si>
  <si>
    <t>半角空白×1</t>
    <rPh sb="0" eb="2">
      <t>ハンカク</t>
    </rPh>
    <rPh sb="2" eb="4">
      <t>クウハク</t>
    </rPh>
    <phoneticPr fontId="8"/>
  </si>
  <si>
    <t>半角(御社の伝票番号または注文番号等)</t>
    <rPh sb="0" eb="2">
      <t>ハンカク</t>
    </rPh>
    <rPh sb="3" eb="5">
      <t>オンシャ</t>
    </rPh>
    <rPh sb="6" eb="8">
      <t>デンピョウ</t>
    </rPh>
    <rPh sb="8" eb="10">
      <t>バンゴウ</t>
    </rPh>
    <rPh sb="13" eb="15">
      <t>チュウモン</t>
    </rPh>
    <rPh sb="15" eb="17">
      <t>バンゴウ</t>
    </rPh>
    <rPh sb="17" eb="18">
      <t>トウ</t>
    </rPh>
    <phoneticPr fontId="4"/>
  </si>
  <si>
    <t>レコード
SEQ</t>
    <phoneticPr fontId="8"/>
  </si>
  <si>
    <t>説明</t>
    <rPh sb="0" eb="2">
      <t>セツメイ</t>
    </rPh>
    <phoneticPr fontId="4"/>
  </si>
  <si>
    <t>最大桁数
(バイト)</t>
    <rPh sb="0" eb="2">
      <t>サイダイ</t>
    </rPh>
    <rPh sb="2" eb="3">
      <t>ケタ</t>
    </rPh>
    <rPh sb="3" eb="4">
      <t>スウ</t>
    </rPh>
    <phoneticPr fontId="4"/>
  </si>
  <si>
    <t>データ型</t>
    <rPh sb="3" eb="4">
      <t>ガタ</t>
    </rPh>
    <phoneticPr fontId="4"/>
  </si>
  <si>
    <t>項目名</t>
  </si>
  <si>
    <t>必須</t>
    <rPh sb="0" eb="2">
      <t>ヒッス</t>
    </rPh>
    <phoneticPr fontId="4"/>
  </si>
  <si>
    <t>項目番号</t>
    <phoneticPr fontId="8"/>
  </si>
  <si>
    <t>データレイアウト仕様書：運送業者EDIレイアウト（標準）.xls</t>
    <rPh sb="8" eb="11">
      <t>シヨウショ</t>
    </rPh>
    <phoneticPr fontId="8"/>
  </si>
  <si>
    <t>2024/4/15　袁　新規作成</t>
    <rPh sb="10" eb="11">
      <t>エン</t>
    </rPh>
    <rPh sb="12" eb="14">
      <t>シンキ</t>
    </rPh>
    <rPh sb="14" eb="16">
      <t>サクセイ</t>
    </rPh>
    <phoneticPr fontId="3"/>
  </si>
  <si>
    <t>2024/4/15 袁 I/O関連図追加</t>
    <rPh sb="10" eb="11">
      <t>エン</t>
    </rPh>
    <rPh sb="15" eb="18">
      <t>カンレンズ</t>
    </rPh>
    <rPh sb="18" eb="20">
      <t>ツイカ</t>
    </rPh>
    <phoneticPr fontId="3"/>
  </si>
  <si>
    <t>項目名ヘッダ</t>
    <rPh sb="0" eb="2">
      <t>コウモク</t>
    </rPh>
    <rPh sb="2" eb="3">
      <t>メイ</t>
    </rPh>
    <phoneticPr fontId="4"/>
  </si>
  <si>
    <t>荷主伝票№</t>
    <phoneticPr fontId="4"/>
  </si>
  <si>
    <t>出荷日</t>
    <phoneticPr fontId="4"/>
  </si>
  <si>
    <t>発荷主コード</t>
    <phoneticPr fontId="4"/>
  </si>
  <si>
    <t>発荷主名1</t>
    <phoneticPr fontId="4"/>
  </si>
  <si>
    <t>発荷主名2</t>
    <phoneticPr fontId="4"/>
  </si>
  <si>
    <t>発荷主都道府県</t>
    <phoneticPr fontId="4"/>
  </si>
  <si>
    <t>発荷主住所1</t>
    <phoneticPr fontId="4"/>
  </si>
  <si>
    <t>発荷主住所2</t>
    <phoneticPr fontId="4"/>
  </si>
  <si>
    <t>発荷主住所3</t>
    <phoneticPr fontId="4"/>
  </si>
  <si>
    <t>発荷主℡</t>
    <phoneticPr fontId="4"/>
  </si>
  <si>
    <t>発荷主郵便番号</t>
    <phoneticPr fontId="4"/>
  </si>
  <si>
    <t>発荷主名カナ</t>
    <phoneticPr fontId="4"/>
  </si>
  <si>
    <t>客先枝番CD</t>
    <phoneticPr fontId="4"/>
  </si>
  <si>
    <t>出荷先ｺｰﾄﾞ</t>
    <phoneticPr fontId="4"/>
  </si>
  <si>
    <t>出荷先名1</t>
    <phoneticPr fontId="4"/>
  </si>
  <si>
    <t>出荷先名2</t>
    <phoneticPr fontId="4"/>
  </si>
  <si>
    <t>出荷先都道府県</t>
    <phoneticPr fontId="4"/>
  </si>
  <si>
    <t>出荷先住所1</t>
    <phoneticPr fontId="4"/>
  </si>
  <si>
    <t>出荷先住所2</t>
    <phoneticPr fontId="4"/>
  </si>
  <si>
    <t>出荷先住所3</t>
    <phoneticPr fontId="4"/>
  </si>
  <si>
    <t>出荷先℡</t>
    <phoneticPr fontId="4"/>
  </si>
  <si>
    <t>出荷先郵便番号</t>
    <phoneticPr fontId="4"/>
  </si>
  <si>
    <t>届け先名カナ</t>
    <phoneticPr fontId="4"/>
  </si>
  <si>
    <t>個数</t>
    <phoneticPr fontId="4"/>
  </si>
  <si>
    <t>重量(Kg)</t>
    <phoneticPr fontId="4"/>
  </si>
  <si>
    <t>重量(才)</t>
    <phoneticPr fontId="4"/>
  </si>
  <si>
    <t>記事欄1</t>
    <phoneticPr fontId="4"/>
  </si>
  <si>
    <t>記事欄2</t>
    <phoneticPr fontId="4"/>
  </si>
  <si>
    <t>記事欄3</t>
    <phoneticPr fontId="4"/>
  </si>
  <si>
    <t>記事欄4</t>
    <phoneticPr fontId="4"/>
  </si>
  <si>
    <t>記事欄5</t>
    <phoneticPr fontId="4"/>
  </si>
  <si>
    <t>記事欄6</t>
    <phoneticPr fontId="4"/>
  </si>
  <si>
    <t>納期(月)</t>
    <phoneticPr fontId="4"/>
  </si>
  <si>
    <t>納期(日)</t>
    <phoneticPr fontId="4"/>
  </si>
  <si>
    <t>納期詳細</t>
    <phoneticPr fontId="4"/>
  </si>
  <si>
    <t>送り状№</t>
    <phoneticPr fontId="4"/>
  </si>
  <si>
    <t>貨物№</t>
    <phoneticPr fontId="4"/>
  </si>
  <si>
    <t>元着区分</t>
    <phoneticPr fontId="4"/>
  </si>
  <si>
    <t>貸切区分</t>
    <phoneticPr fontId="4"/>
  </si>
  <si>
    <t>荷主伝票№,出荷日,発荷主コード,発荷主名1,発荷主名2,発荷主都道府県,発荷主住所1,発荷主住所2,発荷主住所3,発荷主℡,発荷主郵便番号,発荷主名カナ,客先枝番CD,出荷先ｺｰﾄﾞ,出荷先名1,出荷先名2,出荷先都道府県,出荷先住所1,出荷先住所2,出荷先住所3,出荷先℡,出荷先郵便番号,届け先名カナ,個数,重量(Kg),重量(才),記事欄1,記事欄2,記事欄3,記事欄4,記事欄5,記事欄6,納期(月),納期(日),納期詳細,送り状№,貨物№,元着区分,貸切区分</t>
    <phoneticPr fontId="4"/>
  </si>
  <si>
    <t>岡山県貨物運送</t>
    <rPh sb="5" eb="7">
      <t>ウンソウ</t>
    </rPh>
    <phoneticPr fontId="3"/>
  </si>
  <si>
    <t>岡山県貨物運送</t>
    <phoneticPr fontId="4"/>
  </si>
  <si>
    <t>-</t>
    <phoneticPr fontId="3"/>
  </si>
  <si>
    <t>・岡山県貨物運送のCSVを出力する</t>
    <rPh sb="13" eb="15">
      <t>シュツリョク</t>
    </rPh>
    <phoneticPr fontId="3"/>
  </si>
  <si>
    <t>※データが長すぎのため,イメージ図が省略する。詳細はCSVイメージシートを参照してください。</t>
  </si>
  <si>
    <t>"123456789","20240415","okayama8901234","発荷主名１２３","発荷主名４５６","東京都","発荷主住所１２３","発荷主住所４５６","発荷主住所６７８","010-1234-5678","1234567","ﾄｳｷｮｳ","12345","1234567890","出荷先名１２３","出荷先名４５６","東京都","出荷先住所１２３","出荷先住所４５６","出荷先住所７８９","070-1234-5678","1223456","ﾄｳｷｮｳ","123","12345","0","あいうえおかきくけこ","あいうえおかきくけこ","あいうえおかきくけこ","あいうえおかきくけこ","あいうえおかきくけこ","あいうえおかきくけこ","04","15","AM必着","1234567890","12345678901","1","0"</t>
    <rPh sb="61" eb="64">
      <t>トウキョウト</t>
    </rPh>
    <rPh sb="175" eb="178">
      <t>トウキョウト</t>
    </rPh>
    <phoneticPr fontId="4"/>
  </si>
  <si>
    <t>出荷管理</t>
    <rPh sb="0" eb="4">
      <t>シュッカカンリ</t>
    </rPh>
    <phoneticPr fontId="3"/>
  </si>
  <si>
    <t>出荷管理</t>
    <rPh sb="0" eb="2">
      <t>シュッカ</t>
    </rPh>
    <rPh sb="2" eb="4">
      <t>カンリ</t>
    </rPh>
    <phoneticPr fontId="4"/>
  </si>
  <si>
    <t>shipping</t>
    <phoneticPr fontId="3"/>
  </si>
  <si>
    <t>RBD285</t>
    <phoneticPr fontId="4"/>
  </si>
  <si>
    <t>日立　べ</t>
    <rPh sb="0" eb="2">
      <t>ヒタチ</t>
    </rPh>
    <phoneticPr fontId="4"/>
  </si>
  <si>
    <t>RBD285_STEP234_画面_パッケージ仕様書_岡山県貨物運送_v0.01</t>
    <rPh sb="32" eb="34">
      <t>ウンソウ</t>
    </rPh>
    <phoneticPr fontId="105"/>
  </si>
  <si>
    <t>出荷業務管理者</t>
    <phoneticPr fontId="3"/>
  </si>
  <si>
    <r>
      <t>・運送業者担当者が【</t>
    </r>
    <r>
      <rPr>
        <sz val="11"/>
        <color rgb="FF0070C0"/>
        <rFont val="ＭＳ Ｐゴシック"/>
        <family val="3"/>
        <charset val="128"/>
      </rPr>
      <t>運送業者データ出力</t>
    </r>
    <r>
      <rPr>
        <sz val="11"/>
        <rFont val="ＭＳ Ｐゴシック"/>
        <family val="3"/>
        <charset val="128"/>
      </rPr>
      <t>】より発行を指示</t>
    </r>
    <rPh sb="10" eb="12">
      <t>ウンソウ</t>
    </rPh>
    <rPh sb="12" eb="14">
      <t>ギョウシャ</t>
    </rPh>
    <rPh sb="17" eb="19">
      <t>シュツリョク</t>
    </rPh>
    <phoneticPr fontId="3"/>
  </si>
  <si>
    <t>・引き渡し確定処理をしたものであること</t>
    <phoneticPr fontId="3"/>
  </si>
  <si>
    <t>随時</t>
    <rPh sb="0" eb="2">
      <t>ズイジ</t>
    </rPh>
    <phoneticPr fontId="3"/>
  </si>
  <si>
    <t>べ</t>
    <phoneticPr fontId="3"/>
  </si>
  <si>
    <t>・出荷実績送信データとしてCSVデータファイルを出力する。</t>
    <rPh sb="1" eb="3">
      <t>シュッカ</t>
    </rPh>
    <rPh sb="3" eb="5">
      <t>ジッセキ</t>
    </rPh>
    <rPh sb="5" eb="7">
      <t>ソウシン</t>
    </rPh>
    <rPh sb="24" eb="26">
      <t>シュツリョク</t>
    </rPh>
    <phoneticPr fontId="3"/>
  </si>
  <si>
    <t>・【運送業者データ出力】で指定した発行条件に従いCSVを出力する</t>
    <rPh sb="2" eb="4">
      <t>ウンソウ</t>
    </rPh>
    <rPh sb="4" eb="6">
      <t>ギョウシャ</t>
    </rPh>
    <rPh sb="9" eb="11">
      <t>シュツリョク</t>
    </rPh>
    <rPh sb="13" eb="15">
      <t>シテイ</t>
    </rPh>
    <rPh sb="28" eb="30">
      <t>シュツリョク</t>
    </rPh>
    <phoneticPr fontId="3"/>
  </si>
  <si>
    <t>新規作成</t>
    <rPh sb="0" eb="4">
      <t>シンキサクセイ</t>
    </rPh>
    <phoneticPr fontId="4"/>
  </si>
  <si>
    <t>2024/4/27　べ　詳細設計内容を反映</t>
    <rPh sb="12" eb="18">
      <t>ショウサイセッケイナイヨウ</t>
    </rPh>
    <rPh sb="19" eb="21">
      <t>ハンエイ</t>
    </rPh>
    <phoneticPr fontId="3"/>
  </si>
  <si>
    <t>・出荷伝票No. ＞ 出荷日</t>
    <rPh sb="1" eb="3">
      <t>シュッカ</t>
    </rPh>
    <rPh sb="3" eb="5">
      <t>デンピョウ</t>
    </rPh>
    <rPh sb="11" eb="13">
      <t>シュッカ</t>
    </rPh>
    <rPh sb="13" eb="14">
      <t>ビ</t>
    </rPh>
    <phoneticPr fontId="3"/>
  </si>
  <si>
    <t>T_SHIPPING_INST_H</t>
    <phoneticPr fontId="3"/>
  </si>
  <si>
    <t>出荷指示ヘッダ</t>
    <rPh sb="0" eb="4">
      <t>シュッカシジ</t>
    </rPh>
    <phoneticPr fontId="3"/>
  </si>
  <si>
    <t>○</t>
    <phoneticPr fontId="3"/>
  </si>
  <si>
    <t>T_SHIPPING_INST_B</t>
    <phoneticPr fontId="3"/>
  </si>
  <si>
    <t>出荷指示ボディ</t>
    <rPh sb="0" eb="4">
      <t>シュッカシジ</t>
    </rPh>
    <phoneticPr fontId="3"/>
  </si>
  <si>
    <t>○</t>
  </si>
  <si>
    <t>T_ALLOC_INST_H</t>
    <phoneticPr fontId="3"/>
  </si>
  <si>
    <t>引当指示ヘッダ</t>
    <rPh sb="0" eb="2">
      <t>ヒキアテ</t>
    </rPh>
    <phoneticPr fontId="3"/>
  </si>
  <si>
    <t>T_ALLOC_INST_B</t>
    <phoneticPr fontId="3"/>
  </si>
  <si>
    <t>引当指示ボディ</t>
    <rPh sb="0" eb="4">
      <t>ヒキアテシジ</t>
    </rPh>
    <phoneticPr fontId="3"/>
  </si>
  <si>
    <t>T_PACKING_H</t>
    <phoneticPr fontId="3"/>
  </si>
  <si>
    <t>梱包ヘッダ</t>
    <rPh sb="0" eb="2">
      <t>コンポウ</t>
    </rPh>
    <phoneticPr fontId="3"/>
  </si>
  <si>
    <t>T_PACKING_B</t>
    <phoneticPr fontId="3"/>
  </si>
  <si>
    <t>梱包ボディ</t>
    <rPh sb="0" eb="2">
      <t>コンポウ</t>
    </rPh>
    <phoneticPr fontId="3"/>
  </si>
  <si>
    <t>M_CENTER</t>
    <phoneticPr fontId="3"/>
  </si>
  <si>
    <t>センタマスタ</t>
    <phoneticPr fontId="3"/>
  </si>
  <si>
    <t>M_DELIVERY_COURSE</t>
    <phoneticPr fontId="3"/>
  </si>
  <si>
    <t>配送コースマスタ</t>
    <rPh sb="0" eb="2">
      <t>ハイソウ</t>
    </rPh>
    <phoneticPr fontId="3"/>
  </si>
  <si>
    <t>M_CARRIER</t>
    <phoneticPr fontId="3"/>
  </si>
  <si>
    <t>センタ運送業者マスタ</t>
    <rPh sb="3" eb="7">
      <t>ウンソウギョウシャ</t>
    </rPh>
    <phoneticPr fontId="3"/>
  </si>
  <si>
    <t>B_MESSAGE</t>
    <phoneticPr fontId="3"/>
  </si>
  <si>
    <t>メッセージマスタ</t>
    <phoneticPr fontId="3"/>
  </si>
  <si>
    <t>P_REPORT</t>
  </si>
  <si>
    <t>帳票マスタ</t>
    <rPh sb="0" eb="2">
      <t>チョウヒョウ</t>
    </rPh>
    <phoneticPr fontId="3"/>
  </si>
  <si>
    <t>・帳票マスタ.帳票名称よりファイル名を取得する</t>
    <rPh sb="1" eb="3">
      <t>チョウヒョウ</t>
    </rPh>
    <rPh sb="7" eb="9">
      <t>チョウヒョウ</t>
    </rPh>
    <rPh sb="9" eb="11">
      <t>メイショウ</t>
    </rPh>
    <rPh sb="17" eb="18">
      <t>メイ</t>
    </rPh>
    <rPh sb="19" eb="21">
      <t>シュトク</t>
    </rPh>
    <phoneticPr fontId="4"/>
  </si>
  <si>
    <r>
      <t>マッピング内容は「マッピング定義」（</t>
    </r>
    <r>
      <rPr>
        <sz val="11"/>
        <rFont val="ＭＳ Ｐゴシック"/>
        <family val="3"/>
        <charset val="128"/>
      </rPr>
      <t>1-1.ファイル名取得）参照の事</t>
    </r>
    <rPh sb="5" eb="7">
      <t>ナイヨウ</t>
    </rPh>
    <rPh sb="14" eb="16">
      <t>テイギ</t>
    </rPh>
    <rPh sb="26" eb="27">
      <t>メイ</t>
    </rPh>
    <rPh sb="27" eb="29">
      <t>シュトク</t>
    </rPh>
    <rPh sb="30" eb="32">
      <t>サンショウ</t>
    </rPh>
    <rPh sb="33" eb="34">
      <t>コト</t>
    </rPh>
    <phoneticPr fontId="4"/>
  </si>
  <si>
    <r>
      <t>・</t>
    </r>
    <r>
      <rPr>
        <sz val="11"/>
        <color rgb="FF0070C0"/>
        <rFont val="ＭＳ Ｐゴシック"/>
        <family val="3"/>
        <charset val="128"/>
      </rPr>
      <t>メッセージマスタ.メッセージより</t>
    </r>
    <r>
      <rPr>
        <sz val="11"/>
        <rFont val="ＭＳ Ｐゴシック"/>
        <family val="3"/>
        <charset val="128"/>
      </rPr>
      <t>項目名ヘッダデータを取得しファイルに出力する</t>
    </r>
    <rPh sb="17" eb="20">
      <t>コウモクメイ</t>
    </rPh>
    <rPh sb="27" eb="29">
      <t>シュトク</t>
    </rPh>
    <rPh sb="35" eb="37">
      <t>シュツリョク</t>
    </rPh>
    <phoneticPr fontId="4"/>
  </si>
  <si>
    <r>
      <t>マッピング内容は「マッピング定義」（</t>
    </r>
    <r>
      <rPr>
        <sz val="11"/>
        <color rgb="FF0070C0"/>
        <rFont val="ＭＳ Ｐゴシック"/>
        <family val="3"/>
        <charset val="128"/>
      </rPr>
      <t>1-2.データ取得の項目名</t>
    </r>
    <r>
      <rPr>
        <sz val="11"/>
        <rFont val="ＭＳ Ｐゴシック"/>
        <family val="3"/>
        <charset val="128"/>
      </rPr>
      <t>）参照の事</t>
    </r>
    <rPh sb="5" eb="7">
      <t>ナイヨウ</t>
    </rPh>
    <rPh sb="14" eb="16">
      <t>テイギ</t>
    </rPh>
    <rPh sb="25" eb="27">
      <t>シュトク</t>
    </rPh>
    <rPh sb="31" eb="33">
      <t>サンショウ</t>
    </rPh>
    <rPh sb="34" eb="35">
      <t>コト</t>
    </rPh>
    <phoneticPr fontId="4"/>
  </si>
  <si>
    <t>マッピング内容は「マッピング定義」（1-3.運送業者データ取得）参照の事</t>
    <rPh sb="5" eb="7">
      <t>ナイヨウ</t>
    </rPh>
    <rPh sb="14" eb="16">
      <t>テイギ</t>
    </rPh>
    <rPh sb="22" eb="24">
      <t>ウンソウ</t>
    </rPh>
    <rPh sb="24" eb="26">
      <t>ギョウシャ</t>
    </rPh>
    <rPh sb="29" eb="31">
      <t>シュトク</t>
    </rPh>
    <rPh sb="32" eb="34">
      <t>サンショウ</t>
    </rPh>
    <rPh sb="35" eb="36">
      <t>コト</t>
    </rPh>
    <phoneticPr fontId="4"/>
  </si>
  <si>
    <t>2024/4/27 べ　詳細設計内容を反映</t>
    <rPh sb="12" eb="18">
      <t>ショウサイセッケイナイヨウ</t>
    </rPh>
    <rPh sb="19" eb="21">
      <t>ハンエイ</t>
    </rPh>
    <phoneticPr fontId="4"/>
  </si>
  <si>
    <t>出荷確定日</t>
    <phoneticPr fontId="4"/>
  </si>
  <si>
    <t>出庫ヘッダ</t>
    <phoneticPr fontId="4"/>
  </si>
  <si>
    <t>配達指定日</t>
    <phoneticPr fontId="4"/>
  </si>
  <si>
    <t>出荷指示ヘッダ</t>
    <phoneticPr fontId="4"/>
  </si>
  <si>
    <t>センタ名称</t>
    <phoneticPr fontId="4"/>
  </si>
  <si>
    <t>センタマスタ</t>
    <phoneticPr fontId="4"/>
  </si>
  <si>
    <t>住所</t>
    <phoneticPr fontId="4"/>
  </si>
  <si>
    <t>荷主住所２</t>
    <phoneticPr fontId="4"/>
  </si>
  <si>
    <t>省略不可</t>
    <rPh sb="0" eb="1">
      <t>ショウリャク</t>
    </rPh>
    <rPh sb="1" eb="3">
      <t>フカ</t>
    </rPh>
    <phoneticPr fontId="4"/>
  </si>
  <si>
    <t>電話番号</t>
    <phoneticPr fontId="4"/>
  </si>
  <si>
    <t>届先名称1</t>
    <phoneticPr fontId="4"/>
  </si>
  <si>
    <t>届先名称2</t>
    <phoneticPr fontId="4"/>
  </si>
  <si>
    <t>届先住所１</t>
    <phoneticPr fontId="4"/>
  </si>
  <si>
    <t>届先住所2</t>
    <phoneticPr fontId="4"/>
  </si>
  <si>
    <t>届先電話番号</t>
    <phoneticPr fontId="4"/>
  </si>
  <si>
    <t>梱包数</t>
    <phoneticPr fontId="4"/>
  </si>
  <si>
    <t>SUM</t>
    <phoneticPr fontId="4"/>
  </si>
  <si>
    <t>梱包ボディ</t>
    <phoneticPr fontId="4"/>
  </si>
  <si>
    <t>YEAR</t>
    <phoneticPr fontId="4"/>
  </si>
  <si>
    <t>DAY</t>
    <phoneticPr fontId="4"/>
  </si>
  <si>
    <t>貨物追跡No</t>
    <phoneticPr fontId="4"/>
  </si>
  <si>
    <t>梱包ヘッダ</t>
    <phoneticPr fontId="4"/>
  </si>
  <si>
    <t>※メインテーブルはt_shipping_inst_h</t>
    <phoneticPr fontId="4"/>
  </si>
  <si>
    <t>shippingFixedDt</t>
    <phoneticPr fontId="4"/>
  </si>
  <si>
    <t>mcenter.centerNm</t>
    <phoneticPr fontId="4"/>
  </si>
  <si>
    <t>mcenter.telNo</t>
    <phoneticPr fontId="4"/>
  </si>
  <si>
    <t>delivTelNo</t>
    <phoneticPr fontId="4"/>
  </si>
  <si>
    <t>delivAddress1</t>
    <phoneticPr fontId="4"/>
  </si>
  <si>
    <t>delivAddress2</t>
    <phoneticPr fontId="4"/>
  </si>
  <si>
    <t>delivAddress3</t>
    <phoneticPr fontId="4"/>
  </si>
  <si>
    <t>delivCustomerNm1</t>
    <phoneticPr fontId="4"/>
  </si>
  <si>
    <t>delivCustomerNm2</t>
    <phoneticPr fontId="4"/>
  </si>
  <si>
    <t>delivCd</t>
    <phoneticPr fontId="4"/>
  </si>
  <si>
    <t>telNo</t>
    <phoneticPr fontId="4"/>
  </si>
  <si>
    <t>centerNm2</t>
    <phoneticPr fontId="4"/>
  </si>
  <si>
    <t>centerNm1</t>
    <phoneticPr fontId="4"/>
  </si>
  <si>
    <t>clientCd</t>
    <phoneticPr fontId="4"/>
  </si>
  <si>
    <t>shippingDt</t>
    <phoneticPr fontId="4"/>
  </si>
  <si>
    <t>clientSlipNo</t>
    <phoneticPr fontId="4"/>
  </si>
  <si>
    <t>pakcingNum</t>
    <phoneticPr fontId="4"/>
  </si>
  <si>
    <t>packingNum</t>
    <phoneticPr fontId="4"/>
  </si>
  <si>
    <t>year</t>
    <phoneticPr fontId="4"/>
  </si>
  <si>
    <t>day</t>
    <phoneticPr fontId="4"/>
  </si>
  <si>
    <t>article1</t>
    <phoneticPr fontId="4"/>
  </si>
  <si>
    <t>article2</t>
    <phoneticPr fontId="4"/>
  </si>
  <si>
    <t>article3</t>
    <phoneticPr fontId="4"/>
  </si>
  <si>
    <t>article4</t>
    <phoneticPr fontId="4"/>
  </si>
  <si>
    <t>article5</t>
    <phoneticPr fontId="4"/>
  </si>
  <si>
    <t>article6</t>
    <phoneticPr fontId="4"/>
  </si>
  <si>
    <t>invoice</t>
    <phoneticPr fontId="4"/>
  </si>
  <si>
    <t>reservedClass</t>
    <phoneticPr fontId="4"/>
  </si>
  <si>
    <t>originalArrivalClass</t>
    <phoneticPr fontId="4"/>
  </si>
  <si>
    <t>deliveryDetails</t>
    <phoneticPr fontId="4"/>
  </si>
  <si>
    <t>weight1</t>
    <phoneticPr fontId="4"/>
  </si>
  <si>
    <t>weight2</t>
    <phoneticPr fontId="4"/>
  </si>
  <si>
    <t>delivAddressKana</t>
    <phoneticPr fontId="4"/>
  </si>
  <si>
    <t>prefecture</t>
    <phoneticPr fontId="4"/>
  </si>
  <si>
    <t>customerBranchCd</t>
    <phoneticPr fontId="4"/>
  </si>
  <si>
    <t>clientPostalCd</t>
    <phoneticPr fontId="4"/>
  </si>
  <si>
    <t>clientNmKana</t>
    <phoneticPr fontId="4"/>
  </si>
  <si>
    <t>shippingPostalCd</t>
    <phoneticPr fontId="4"/>
  </si>
  <si>
    <t>2024/4/27 べ　詳細設計内容を反映</t>
    <rPh sb="12" eb="18">
      <t>ショウサイセッケイナイヨウ</t>
    </rPh>
    <rPh sb="19" eb="21">
      <t>ハンエイ</t>
    </rPh>
    <phoneticPr fontId="4"/>
  </si>
  <si>
    <t>clientPrefecture</t>
    <phoneticPr fontId="4"/>
  </si>
  <si>
    <t>clientAddress1</t>
    <phoneticPr fontId="4"/>
  </si>
  <si>
    <t>clientAddress3</t>
    <phoneticPr fontId="4"/>
  </si>
  <si>
    <t>clientAddress2</t>
    <phoneticPr fontId="4"/>
  </si>
  <si>
    <t>1-1.ファイル名取得</t>
    <rPh sb="8" eb="9">
      <t>メイ</t>
    </rPh>
    <rPh sb="9" eb="11">
      <t>シュトク</t>
    </rPh>
    <phoneticPr fontId="4"/>
  </si>
  <si>
    <t>対象項目</t>
    <rPh sb="0" eb="4">
      <t>タイショウコウモク</t>
    </rPh>
    <phoneticPr fontId="4"/>
  </si>
  <si>
    <t>対象テーブル項目</t>
    <rPh sb="0" eb="2">
      <t>タイショウ</t>
    </rPh>
    <rPh sb="6" eb="8">
      <t>コウモク</t>
    </rPh>
    <phoneticPr fontId="4"/>
  </si>
  <si>
    <t>対象テーブル</t>
    <rPh sb="0" eb="2">
      <t>タイショウ</t>
    </rPh>
    <phoneticPr fontId="4"/>
  </si>
  <si>
    <t>①</t>
    <phoneticPr fontId="4"/>
  </si>
  <si>
    <t>帳票マスタ</t>
    <rPh sb="0" eb="2">
      <t>チョウヒョウ</t>
    </rPh>
    <phoneticPr fontId="9"/>
  </si>
  <si>
    <t>メインTBL</t>
    <phoneticPr fontId="4"/>
  </si>
  <si>
    <t>検索条件</t>
    <rPh sb="0" eb="4">
      <t>ケンサクジョウケン</t>
    </rPh>
    <phoneticPr fontId="4"/>
  </si>
  <si>
    <t>①</t>
    <phoneticPr fontId="9"/>
  </si>
  <si>
    <t>帳票CD</t>
    <rPh sb="0" eb="2">
      <t>チョウヒョウ</t>
    </rPh>
    <phoneticPr fontId="4"/>
  </si>
  <si>
    <t>=</t>
  </si>
  <si>
    <t>1-2.項目名ヘッダデータ取得</t>
    <rPh sb="4" eb="6">
      <t>コウモク</t>
    </rPh>
    <rPh sb="6" eb="7">
      <t>メイ</t>
    </rPh>
    <rPh sb="13" eb="15">
      <t>シュトク</t>
    </rPh>
    <phoneticPr fontId="4"/>
  </si>
  <si>
    <t>メッセージマスタ</t>
  </si>
  <si>
    <t>メッセージCD</t>
    <phoneticPr fontId="4"/>
  </si>
  <si>
    <t>AND</t>
    <phoneticPr fontId="4"/>
  </si>
  <si>
    <t>カルチャID</t>
    <phoneticPr fontId="4"/>
  </si>
  <si>
    <t>=</t>
    <phoneticPr fontId="9"/>
  </si>
  <si>
    <t>ログイン情報.カルチャID</t>
    <phoneticPr fontId="4"/>
  </si>
  <si>
    <t>1-3.運送業者データ取得</t>
    <rPh sb="4" eb="8">
      <t>ウンソウギョウシャ</t>
    </rPh>
    <rPh sb="11" eb="13">
      <t>シュトク</t>
    </rPh>
    <phoneticPr fontId="9"/>
  </si>
  <si>
    <t>対象テーブル項目</t>
    <phoneticPr fontId="9"/>
  </si>
  <si>
    <t>⑥</t>
    <phoneticPr fontId="4"/>
  </si>
  <si>
    <t>SUM（梱包数）</t>
    <rPh sb="4" eb="7">
      <t>コンポウスウ</t>
    </rPh>
    <phoneticPr fontId="4"/>
  </si>
  <si>
    <t>出荷指示ヘッダ</t>
    <rPh sb="0" eb="4">
      <t>シュッカシジ</t>
    </rPh>
    <phoneticPr fontId="9"/>
  </si>
  <si>
    <t>②</t>
    <phoneticPr fontId="4"/>
  </si>
  <si>
    <t>出荷指示ボディ</t>
    <rPh sb="0" eb="4">
      <t>シュッカシジ</t>
    </rPh>
    <phoneticPr fontId="9"/>
  </si>
  <si>
    <t>③</t>
    <phoneticPr fontId="9"/>
  </si>
  <si>
    <t>引当指示ヘッダ</t>
    <rPh sb="0" eb="4">
      <t>ヒキアテシジ</t>
    </rPh>
    <phoneticPr fontId="9"/>
  </si>
  <si>
    <t>④</t>
    <phoneticPr fontId="9"/>
  </si>
  <si>
    <t>引当指示ボディ</t>
    <rPh sb="0" eb="4">
      <t>ヒキアテシジ</t>
    </rPh>
    <phoneticPr fontId="9"/>
  </si>
  <si>
    <t>⑤</t>
    <phoneticPr fontId="9"/>
  </si>
  <si>
    <t>梱包ヘッダ</t>
    <rPh sb="0" eb="2">
      <t>コンポウ</t>
    </rPh>
    <phoneticPr fontId="9"/>
  </si>
  <si>
    <t>⑥</t>
    <phoneticPr fontId="9"/>
  </si>
  <si>
    <t>梱包ボディ</t>
    <rPh sb="0" eb="2">
      <t>コンポウ</t>
    </rPh>
    <phoneticPr fontId="9"/>
  </si>
  <si>
    <t>⑦</t>
    <phoneticPr fontId="4"/>
  </si>
  <si>
    <t>⑧</t>
    <phoneticPr fontId="4"/>
  </si>
  <si>
    <t>配送コースマスタ</t>
    <rPh sb="0" eb="2">
      <t>ハイソウ</t>
    </rPh>
    <phoneticPr fontId="4"/>
  </si>
  <si>
    <t>⑨</t>
    <phoneticPr fontId="4"/>
  </si>
  <si>
    <t>センタ運送業者マスタ</t>
    <rPh sb="3" eb="7">
      <t>ウンソウギョウシャ</t>
    </rPh>
    <phoneticPr fontId="4"/>
  </si>
  <si>
    <t>結合条件</t>
    <rPh sb="0" eb="4">
      <t>ケツゴウジョウケン</t>
    </rPh>
    <phoneticPr fontId="4"/>
  </si>
  <si>
    <t>INNER JOIN</t>
    <phoneticPr fontId="9"/>
  </si>
  <si>
    <t>出荷指示ヘッダID</t>
    <rPh sb="0" eb="4">
      <t>シュッカシジ</t>
    </rPh>
    <phoneticPr fontId="9"/>
  </si>
  <si>
    <t>②</t>
    <phoneticPr fontId="9"/>
  </si>
  <si>
    <t>INNER JOIN</t>
    <phoneticPr fontId="4"/>
  </si>
  <si>
    <t>引当指示ヘッダID</t>
    <rPh sb="0" eb="2">
      <t>ヒキアテ</t>
    </rPh>
    <rPh sb="2" eb="4">
      <t>シジ</t>
    </rPh>
    <phoneticPr fontId="9"/>
  </si>
  <si>
    <t>③</t>
    <phoneticPr fontId="4"/>
  </si>
  <si>
    <t>引当指示ボディID</t>
    <rPh sb="0" eb="4">
      <t>ヒキアテシジ</t>
    </rPh>
    <phoneticPr fontId="9"/>
  </si>
  <si>
    <t>センタID</t>
    <phoneticPr fontId="4"/>
  </si>
  <si>
    <t>配送コースID</t>
    <rPh sb="0" eb="2">
      <t>ハイソウ</t>
    </rPh>
    <phoneticPr fontId="4"/>
  </si>
  <si>
    <t>運送業者ID</t>
    <rPh sb="0" eb="4">
      <t>ウンソウギョウシャ</t>
    </rPh>
    <phoneticPr fontId="4"/>
  </si>
  <si>
    <t>⑦</t>
    <phoneticPr fontId="9"/>
  </si>
  <si>
    <t>センタCD</t>
    <phoneticPr fontId="9"/>
  </si>
  <si>
    <t>遷移元で選択された明細.センタCD</t>
    <rPh sb="0" eb="2">
      <t>センイ</t>
    </rPh>
    <rPh sb="2" eb="3">
      <t>モト</t>
    </rPh>
    <rPh sb="4" eb="11">
      <t>センタクサレタメイサイ</t>
    </rPh>
    <phoneticPr fontId="9"/>
  </si>
  <si>
    <t>出荷日</t>
    <rPh sb="0" eb="3">
      <t>シュッカビ</t>
    </rPh>
    <phoneticPr fontId="4"/>
  </si>
  <si>
    <t>遷移元で選択された明細.出荷日</t>
    <rPh sb="0" eb="2">
      <t>センイ</t>
    </rPh>
    <rPh sb="2" eb="3">
      <t>モト</t>
    </rPh>
    <rPh sb="4" eb="11">
      <t>センタクサレタメイサイ</t>
    </rPh>
    <rPh sb="12" eb="15">
      <t>シュッカビ</t>
    </rPh>
    <phoneticPr fontId="4"/>
  </si>
  <si>
    <t>配送コースCD</t>
    <rPh sb="0" eb="2">
      <t>ハイソウ</t>
    </rPh>
    <phoneticPr fontId="4"/>
  </si>
  <si>
    <t>遷移元で選択された明細.運送便CD</t>
    <rPh sb="0" eb="3">
      <t>センイモト</t>
    </rPh>
    <rPh sb="4" eb="11">
      <t>センタクサレタメイサイ</t>
    </rPh>
    <rPh sb="12" eb="13">
      <t>ウン</t>
    </rPh>
    <rPh sb="14" eb="15">
      <t>ビン</t>
    </rPh>
    <phoneticPr fontId="4"/>
  </si>
  <si>
    <t>運送業者CD</t>
    <rPh sb="0" eb="4">
      <t>ウンソウギョウシャ</t>
    </rPh>
    <phoneticPr fontId="4"/>
  </si>
  <si>
    <t>遷移元で選択された明細.運送業者CD</t>
    <rPh sb="0" eb="2">
      <t>センイ</t>
    </rPh>
    <rPh sb="2" eb="3">
      <t>モト</t>
    </rPh>
    <rPh sb="4" eb="11">
      <t>センタクサレタメイサイ</t>
    </rPh>
    <rPh sb="12" eb="16">
      <t>ウンソウギョウシャ</t>
    </rPh>
    <phoneticPr fontId="4"/>
  </si>
  <si>
    <t>削除フラグ</t>
    <rPh sb="0" eb="2">
      <t>サクジョ</t>
    </rPh>
    <phoneticPr fontId="4"/>
  </si>
  <si>
    <t>'0'(未削除)</t>
    <rPh sb="4" eb="7">
      <t>ミサクジョ</t>
    </rPh>
    <phoneticPr fontId="4"/>
  </si>
  <si>
    <t>④</t>
    <phoneticPr fontId="4"/>
  </si>
  <si>
    <t>⑤</t>
    <phoneticPr fontId="4"/>
  </si>
  <si>
    <t>GROUP BY</t>
    <phoneticPr fontId="4"/>
  </si>
  <si>
    <t>昇順</t>
    <rPh sb="0" eb="2">
      <t>ショウジュン</t>
    </rPh>
    <phoneticPr fontId="4"/>
  </si>
  <si>
    <t>■項目編集</t>
    <rPh sb="1" eb="3">
      <t>コウモク</t>
    </rPh>
    <rPh sb="3" eb="5">
      <t>ヘンシュウ</t>
    </rPh>
    <phoneticPr fontId="4"/>
  </si>
  <si>
    <t>・固定値で(半角スペース×1)を出力する</t>
    <rPh sb="1" eb="4">
      <t>コテイチ</t>
    </rPh>
    <rPh sb="6" eb="8">
      <t>ハンカク</t>
    </rPh>
    <rPh sb="16" eb="18">
      <t>シュツリョク</t>
    </rPh>
    <phoneticPr fontId="4"/>
  </si>
  <si>
    <t>'OKAYAMAKENFREIGHT'</t>
    <phoneticPr fontId="4"/>
  </si>
  <si>
    <t>荷主伝票№</t>
    <phoneticPr fontId="4"/>
  </si>
  <si>
    <t>・明細.荷主伝票№</t>
    <rPh sb="1" eb="3">
      <t>メイサイ</t>
    </rPh>
    <phoneticPr fontId="4"/>
  </si>
  <si>
    <t>発荷主都道府県</t>
    <phoneticPr fontId="4"/>
  </si>
  <si>
    <t>・明細.発荷主都道府県'発荷主都道府県</t>
    <rPh sb="1" eb="3">
      <t>メイサイ</t>
    </rPh>
    <rPh sb="4" eb="5">
      <t>ハツ</t>
    </rPh>
    <rPh sb="5" eb="7">
      <t>ニヌシ</t>
    </rPh>
    <rPh sb="7" eb="11">
      <t>トドウフケン</t>
    </rPh>
    <rPh sb="12" eb="13">
      <t>ハツ</t>
    </rPh>
    <rPh sb="13" eb="15">
      <t>ニヌシ</t>
    </rPh>
    <rPh sb="15" eb="19">
      <t>トドウフケン</t>
    </rPh>
    <phoneticPr fontId="4"/>
  </si>
  <si>
    <t>発荷主郵便番号</t>
    <phoneticPr fontId="4"/>
  </si>
  <si>
    <t>・明細.発荷主郵便番号</t>
    <phoneticPr fontId="4"/>
  </si>
  <si>
    <t>発荷主名カナ</t>
    <phoneticPr fontId="4"/>
  </si>
  <si>
    <t>・明細.発荷主名カナ</t>
    <phoneticPr fontId="4"/>
  </si>
  <si>
    <t>客先枝番CD</t>
    <phoneticPr fontId="4"/>
  </si>
  <si>
    <t>・明細.客先枝番CD</t>
    <rPh sb="4" eb="6">
      <t>キャクサキ</t>
    </rPh>
    <rPh sb="6" eb="8">
      <t>エダバン</t>
    </rPh>
    <phoneticPr fontId="4"/>
  </si>
  <si>
    <t>出荷先ｺｰﾄﾞ</t>
    <phoneticPr fontId="4"/>
  </si>
  <si>
    <t>・明細.出荷先ｺｰﾄﾞ</t>
    <rPh sb="4" eb="6">
      <t>シュッカ</t>
    </rPh>
    <rPh sb="6" eb="7">
      <t>サキ</t>
    </rPh>
    <phoneticPr fontId="4"/>
  </si>
  <si>
    <t>出荷先都道府県</t>
    <phoneticPr fontId="4"/>
  </si>
  <si>
    <t>出荷先郵便番号</t>
    <phoneticPr fontId="4"/>
  </si>
  <si>
    <t>届け先名カナ</t>
    <phoneticPr fontId="4"/>
  </si>
  <si>
    <t>記事欄5</t>
    <phoneticPr fontId="4"/>
  </si>
  <si>
    <t>記事欄6</t>
    <phoneticPr fontId="4"/>
  </si>
  <si>
    <t>元着区分</t>
    <phoneticPr fontId="4"/>
  </si>
  <si>
    <t>貸切区分</t>
    <phoneticPr fontId="4"/>
  </si>
  <si>
    <t>貨物№</t>
    <phoneticPr fontId="4"/>
  </si>
  <si>
    <t>・明細.出荷先都道府県</t>
    <phoneticPr fontId="4"/>
  </si>
  <si>
    <t/>
  </si>
  <si>
    <t>・明細.出荷先郵便番号</t>
    <phoneticPr fontId="4"/>
  </si>
  <si>
    <t>・明細.届け先名カナ</t>
    <phoneticPr fontId="4"/>
  </si>
  <si>
    <t>・固定値で"0"を出力する</t>
    <rPh sb="1" eb="4">
      <t>コテイチ</t>
    </rPh>
    <rPh sb="9" eb="11">
      <t>シュツリョク</t>
    </rPh>
    <phoneticPr fontId="4"/>
  </si>
  <si>
    <t>・固定値で(全角スペース×1)を出力する</t>
    <rPh sb="1" eb="4">
      <t>コテイチ</t>
    </rPh>
    <rPh sb="6" eb="8">
      <t>ゼンカク</t>
    </rPh>
    <rPh sb="16" eb="18">
      <t>シュツリョク</t>
    </rPh>
    <phoneticPr fontId="4"/>
  </si>
  <si>
    <t>・明細.記事欄5</t>
    <phoneticPr fontId="4"/>
  </si>
  <si>
    <t>・明細.記事欄6</t>
    <phoneticPr fontId="4"/>
  </si>
  <si>
    <t>・明細.貨物№</t>
    <phoneticPr fontId="4"/>
  </si>
  <si>
    <t>・明細.元着区分</t>
    <phoneticPr fontId="4"/>
  </si>
  <si>
    <t>・明細.貸切区分</t>
    <phoneticPr fontId="4"/>
  </si>
  <si>
    <t>・固定値で"1"(元払)を出力する</t>
    <rPh sb="1" eb="4">
      <t>コテイチ</t>
    </rPh>
    <rPh sb="9" eb="10">
      <t>モト</t>
    </rPh>
    <rPh sb="10" eb="11">
      <t>ハラ</t>
    </rPh>
    <rPh sb="13" eb="15">
      <t>シュツリョク</t>
    </rPh>
    <phoneticPr fontId="4"/>
  </si>
  <si>
    <t>・固定値で"0"(通常)を出力する</t>
    <rPh sb="1" eb="4">
      <t>コテイチ</t>
    </rPh>
    <rPh sb="9" eb="11">
      <t>ツウジョウ</t>
    </rPh>
    <rPh sb="13" eb="15">
      <t>シュツリョク</t>
    </rPh>
    <phoneticPr fontId="4"/>
  </si>
  <si>
    <t>①</t>
    <phoneticPr fontId="4"/>
  </si>
  <si>
    <t>YEAR(配達指定日)　AS 　YEAR</t>
    <rPh sb="5" eb="10">
      <t>ハイタツシテイビ</t>
    </rPh>
    <phoneticPr fontId="4"/>
  </si>
  <si>
    <t>DAY(配達指定日)　AS 　DAY</t>
    <rPh sb="4" eb="9">
      <t>ハイタツシテイビ</t>
    </rPh>
    <phoneticPr fontId="4"/>
  </si>
  <si>
    <t>・出庫ヘッダ.出荷確定日</t>
    <rPh sb="1" eb="3">
      <t>シュッコ</t>
    </rPh>
    <phoneticPr fontId="3"/>
  </si>
  <si>
    <t>carrierTraceNum</t>
    <phoneticPr fontId="4"/>
  </si>
  <si>
    <t>mcenter.address</t>
    <phoneticPr fontId="4"/>
  </si>
  <si>
    <t>-</t>
    <phoneticPr fontId="4"/>
  </si>
  <si>
    <t>CsvBillingSummaryDataOkaken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</si>
</sst>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¥&quot;#,##0_);[Red]\(&quot;¥&quot;#,##0\)"/>
    <numFmt numFmtId="177" formatCode="&quot;¥&quot;#,##0.00_);[Red]\(&quot;¥&quot;#,##0.00\)"/>
    <numFmt numFmtId="178" formatCode="#,##0;\-#,##0;&quot;-&quot;"/>
    <numFmt numFmtId="179" formatCode="_ * #,##0_ ;_ * &quot;¥&quot;&quot;¥&quot;&quot;¥&quot;&quot;¥&quot;&quot;¥&quot;&quot;¥&quot;&quot;¥&quot;&quot;¥&quot;\-#,##0_ ;_ * &quot;-&quot;_ ;_ @_ "/>
    <numFmt numFmtId="180" formatCode="0.00_ "/>
    <numFmt numFmtId="181" formatCode="0.0_ "/>
  </numFmts>
  <fonts count="11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ゴシック"/>
      <family val="2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宋体"/>
      <charset val="128"/>
    </font>
    <font>
      <sz val="8"/>
      <name val="Times New Roman"/>
      <family val="1"/>
    </font>
    <font>
      <sz val="11"/>
      <color indexed="20"/>
      <name val="ＭＳ Ｐゴシック"/>
      <family val="3"/>
      <charset val="128"/>
    </font>
    <font>
      <sz val="10"/>
      <name val="中ゴシックＢＢＢ"/>
      <family val="1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Helv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Times New Roman"/>
      <family val="1"/>
    </font>
    <font>
      <sz val="10"/>
      <name val="Arial"/>
      <family val="2"/>
    </font>
    <font>
      <b/>
      <sz val="11"/>
      <color indexed="63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宋体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7"/>
      <name val="宋体"/>
      <family val="3"/>
      <charset val="128"/>
    </font>
    <font>
      <sz val="11"/>
      <name val="ＭＳ 明朝"/>
      <family val="1"/>
      <charset val="128"/>
    </font>
    <font>
      <sz val="11"/>
      <color indexed="20"/>
      <name val="宋体"/>
      <charset val="128"/>
    </font>
    <font>
      <sz val="10"/>
      <name val="ＭＳ Ｐ・団"/>
      <family val="1"/>
      <charset val="128"/>
    </font>
    <font>
      <u/>
      <sz val="8.25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  <charset val="128"/>
    </font>
    <font>
      <b/>
      <sz val="15"/>
      <color indexed="56"/>
      <name val="宋体"/>
      <charset val="128"/>
    </font>
    <font>
      <b/>
      <sz val="13"/>
      <color indexed="56"/>
      <name val="宋体"/>
      <charset val="128"/>
    </font>
    <font>
      <b/>
      <sz val="11"/>
      <color indexed="56"/>
      <name val="宋体"/>
      <charset val="128"/>
    </font>
    <font>
      <b/>
      <sz val="11"/>
      <color indexed="9"/>
      <name val="宋体"/>
      <charset val="128"/>
    </font>
    <font>
      <b/>
      <sz val="11"/>
      <color indexed="8"/>
      <name val="宋体"/>
      <charset val="128"/>
    </font>
    <font>
      <b/>
      <sz val="11"/>
      <color indexed="52"/>
      <name val="宋体"/>
      <charset val="128"/>
    </font>
    <font>
      <b/>
      <sz val="11"/>
      <color indexed="63"/>
      <name val="宋体"/>
      <charset val="128"/>
    </font>
    <font>
      <sz val="11"/>
      <color indexed="62"/>
      <name val="宋体"/>
      <charset val="128"/>
    </font>
    <font>
      <sz val="11"/>
      <color indexed="60"/>
      <name val="宋体"/>
      <charset val="128"/>
    </font>
    <font>
      <sz val="11"/>
      <color indexed="52"/>
      <name val="宋体"/>
      <charset val="128"/>
    </font>
    <font>
      <sz val="11"/>
      <color rgb="FFFF0000"/>
      <name val="ＭＳ Ｐゴシック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sz val="8"/>
      <name val="Meiryo UI"/>
      <family val="3"/>
      <charset val="128"/>
    </font>
    <font>
      <b/>
      <sz val="22"/>
      <name val="Meiryo UI"/>
      <family val="3"/>
      <charset val="128"/>
    </font>
    <font>
      <sz val="24"/>
      <name val="Meiryo UI"/>
      <family val="3"/>
      <charset val="128"/>
    </font>
    <font>
      <sz val="36"/>
      <name val="Meiryo UI"/>
      <family val="3"/>
      <charset val="128"/>
    </font>
    <font>
      <b/>
      <sz val="36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sz val="20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明朝"/>
      <family val="1"/>
      <charset val="128"/>
    </font>
    <font>
      <b/>
      <sz val="11"/>
      <color indexed="8"/>
      <name val="宋体"/>
      <family val="3"/>
      <charset val="128"/>
    </font>
    <font>
      <sz val="11"/>
      <color rgb="FF0070C0"/>
      <name val="ＭＳ Ｐゴシック"/>
      <family val="3"/>
      <charset val="128"/>
    </font>
    <font>
      <sz val="11"/>
      <name val="ＭＳ Ｐゴシック"/>
      <family val="3"/>
      <charset val="128"/>
      <scheme val="major"/>
    </font>
    <font>
      <u/>
      <sz val="11"/>
      <color rgb="FF0070C0"/>
      <name val="ＭＳ Ｐゴシック"/>
      <family val="3"/>
      <charset val="128"/>
    </font>
    <font>
      <strike/>
      <sz val="11"/>
      <color rgb="FF0070C0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indexed="10"/>
      <name val="Meiryo UI"/>
      <family val="3"/>
      <charset val="128"/>
    </font>
    <font>
      <sz val="10"/>
      <color rgb="FF0070C0"/>
      <name val="Meiryo UI"/>
      <family val="3"/>
      <charset val="128"/>
    </font>
    <font>
      <sz val="11"/>
      <color theme="1"/>
      <name val="ＭＳ Ｐゴシック"/>
      <family val="3"/>
      <charset val="128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15">
    <xf numFmtId="0" fontId="0" fillId="0" borderId="0"/>
    <xf numFmtId="0" fontId="10" fillId="0" borderId="0"/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0" borderId="0">
      <alignment horizontal="center" wrapText="1"/>
      <protection locked="0"/>
    </xf>
    <xf numFmtId="0" fontId="16" fillId="8" borderId="0" applyNumberFormat="0" applyBorder="0" applyAlignment="0" applyProtection="0">
      <alignment vertical="center"/>
    </xf>
    <xf numFmtId="0" fontId="17" fillId="0" borderId="0"/>
    <xf numFmtId="178" fontId="18" fillId="0" borderId="0" applyFill="0" applyBorder="0" applyAlignment="0"/>
    <xf numFmtId="0" fontId="19" fillId="27" borderId="25" applyNumberFormat="0" applyAlignment="0" applyProtection="0">
      <alignment vertical="center"/>
    </xf>
    <xf numFmtId="0" fontId="20" fillId="28" borderId="26" applyNumberFormat="0" applyAlignment="0" applyProtection="0">
      <alignment vertical="center"/>
    </xf>
    <xf numFmtId="0" fontId="21" fillId="0" borderId="27" applyNumberFormat="0" applyBorder="0">
      <alignment horizontal="centerContinuous"/>
    </xf>
    <xf numFmtId="0" fontId="22" fillId="0" borderId="0" applyNumberForma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38" fontId="24" fillId="2" borderId="0" applyNumberFormat="0" applyBorder="0" applyAlignment="0" applyProtection="0"/>
    <xf numFmtId="0" fontId="25" fillId="0" borderId="28" applyNumberFormat="0" applyAlignment="0" applyProtection="0">
      <alignment horizontal="left" vertical="center"/>
    </xf>
    <xf numFmtId="0" fontId="25" fillId="0" borderId="1">
      <alignment horizontal="left"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Border="0"/>
    <xf numFmtId="0" fontId="31" fillId="12" borderId="25" applyNumberFormat="0" applyAlignment="0" applyProtection="0">
      <alignment vertical="center"/>
    </xf>
    <xf numFmtId="10" fontId="24" fillId="29" borderId="7" applyNumberFormat="0" applyBorder="0" applyAlignment="0" applyProtection="0"/>
    <xf numFmtId="0" fontId="30" fillId="0" borderId="0"/>
    <xf numFmtId="0" fontId="32" fillId="0" borderId="0"/>
    <xf numFmtId="0" fontId="33" fillId="0" borderId="32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2" fontId="35" fillId="30" borderId="0"/>
    <xf numFmtId="179" fontId="36" fillId="0" borderId="0"/>
    <xf numFmtId="0" fontId="36" fillId="0" borderId="0"/>
    <xf numFmtId="0" fontId="10" fillId="15" borderId="33" applyNumberFormat="0" applyFont="0" applyAlignment="0" applyProtection="0">
      <alignment vertical="center"/>
    </xf>
    <xf numFmtId="0" fontId="37" fillId="27" borderId="34" applyNumberFormat="0" applyAlignment="0" applyProtection="0">
      <alignment vertical="center"/>
    </xf>
    <xf numFmtId="14" fontId="15" fillId="0" borderId="0">
      <alignment horizontal="center" wrapText="1"/>
      <protection locked="0"/>
    </xf>
    <xf numFmtId="10" fontId="36" fillId="0" borderId="0" applyFont="0" applyFill="0" applyBorder="0" applyAlignment="0" applyProtection="0"/>
    <xf numFmtId="0" fontId="38" fillId="0" borderId="0" applyNumberFormat="0" applyFont="0" applyFill="0" applyBorder="0" applyAlignment="0" applyProtection="0">
      <alignment horizontal="left"/>
    </xf>
    <xf numFmtId="0" fontId="39" fillId="0" borderId="35">
      <alignment horizontal="center"/>
    </xf>
    <xf numFmtId="0" fontId="40" fillId="0" borderId="0" applyNumberFormat="0" applyFont="0" applyFill="0" applyBorder="0" applyAlignment="0"/>
    <xf numFmtId="4" fontId="41" fillId="31" borderId="36" applyNumberFormat="0" applyProtection="0">
      <alignment vertical="center"/>
    </xf>
    <xf numFmtId="4" fontId="42" fillId="31" borderId="36" applyNumberFormat="0" applyProtection="0">
      <alignment vertical="center"/>
    </xf>
    <xf numFmtId="4" fontId="43" fillId="31" borderId="36" applyNumberFormat="0" applyProtection="0">
      <alignment horizontal="left" vertical="center"/>
    </xf>
    <xf numFmtId="4" fontId="18" fillId="31" borderId="34" applyNumberFormat="0" applyProtection="0">
      <alignment horizontal="left" vertical="center" indent="1"/>
    </xf>
    <xf numFmtId="4" fontId="44" fillId="32" borderId="36" applyNumberFormat="0" applyProtection="0">
      <alignment horizontal="left" vertical="center"/>
    </xf>
    <xf numFmtId="4" fontId="45" fillId="33" borderId="36" applyNumberFormat="0" applyProtection="0">
      <alignment vertical="center"/>
    </xf>
    <xf numFmtId="4" fontId="18" fillId="34" borderId="34" applyNumberFormat="0" applyProtection="0">
      <alignment horizontal="right" vertical="center"/>
    </xf>
    <xf numFmtId="4" fontId="18" fillId="35" borderId="34" applyNumberFormat="0" applyProtection="0">
      <alignment horizontal="right" vertical="center"/>
    </xf>
    <xf numFmtId="4" fontId="18" fillId="33" borderId="34" applyNumberFormat="0" applyProtection="0">
      <alignment horizontal="right" vertical="center"/>
    </xf>
    <xf numFmtId="4" fontId="46" fillId="2" borderId="36" applyNumberFormat="0" applyProtection="0">
      <alignment vertical="center"/>
    </xf>
    <xf numFmtId="4" fontId="18" fillId="36" borderId="34" applyNumberFormat="0" applyProtection="0">
      <alignment horizontal="right" vertical="center"/>
    </xf>
    <xf numFmtId="4" fontId="18" fillId="37" borderId="34" applyNumberFormat="0" applyProtection="0">
      <alignment horizontal="right" vertical="center"/>
    </xf>
    <xf numFmtId="4" fontId="18" fillId="38" borderId="34" applyNumberFormat="0" applyProtection="0">
      <alignment horizontal="right" vertical="center"/>
    </xf>
    <xf numFmtId="4" fontId="45" fillId="39" borderId="36" applyNumberFormat="0" applyProtection="0">
      <alignment vertical="center"/>
    </xf>
    <xf numFmtId="4" fontId="18" fillId="40" borderId="34" applyNumberFormat="0" applyProtection="0">
      <alignment horizontal="right" vertical="center"/>
    </xf>
    <xf numFmtId="4" fontId="18" fillId="41" borderId="34" applyNumberFormat="0" applyProtection="0">
      <alignment horizontal="right" vertical="center"/>
    </xf>
    <xf numFmtId="4" fontId="18" fillId="42" borderId="34" applyNumberFormat="0" applyProtection="0">
      <alignment horizontal="right" vertical="center"/>
    </xf>
    <xf numFmtId="4" fontId="47" fillId="33" borderId="36" applyNumberFormat="0" applyProtection="0">
      <alignment vertical="center"/>
    </xf>
    <xf numFmtId="4" fontId="48" fillId="43" borderId="36" applyNumberFormat="0" applyProtection="0">
      <alignment horizontal="left" vertical="center"/>
    </xf>
    <xf numFmtId="4" fontId="48" fillId="44" borderId="36" applyNumberFormat="0" applyProtection="0">
      <alignment horizontal="left" vertical="center"/>
    </xf>
    <xf numFmtId="4" fontId="49" fillId="32" borderId="36" applyNumberFormat="0" applyProtection="0">
      <alignment horizontal="left" vertical="center"/>
    </xf>
    <xf numFmtId="4" fontId="50" fillId="45" borderId="36" applyNumberFormat="0" applyProtection="0">
      <alignment vertical="center"/>
    </xf>
    <xf numFmtId="4" fontId="51" fillId="30" borderId="36" applyNumberFormat="0" applyProtection="0">
      <alignment horizontal="left" vertical="center"/>
    </xf>
    <xf numFmtId="4" fontId="52" fillId="44" borderId="36" applyNumberFormat="0" applyProtection="0">
      <alignment horizontal="left" vertical="center"/>
    </xf>
    <xf numFmtId="4" fontId="53" fillId="32" borderId="36" applyNumberFormat="0" applyProtection="0">
      <alignment horizontal="left" vertical="center"/>
    </xf>
    <xf numFmtId="0" fontId="36" fillId="46" borderId="34" applyNumberFormat="0" applyProtection="0">
      <alignment horizontal="left" vertical="center" indent="1"/>
    </xf>
    <xf numFmtId="0" fontId="36" fillId="46" borderId="34" applyNumberFormat="0" applyProtection="0">
      <alignment horizontal="left" vertical="center" indent="1"/>
    </xf>
    <xf numFmtId="0" fontId="36" fillId="47" borderId="34" applyNumberFormat="0" applyProtection="0">
      <alignment horizontal="left" vertical="center" indent="1"/>
    </xf>
    <xf numFmtId="0" fontId="36" fillId="47" borderId="34" applyNumberFormat="0" applyProtection="0">
      <alignment horizontal="left" vertical="center" indent="1"/>
    </xf>
    <xf numFmtId="0" fontId="36" fillId="2" borderId="34" applyNumberFormat="0" applyProtection="0">
      <alignment horizontal="left" vertical="center" indent="1"/>
    </xf>
    <xf numFmtId="0" fontId="36" fillId="2" borderId="34" applyNumberFormat="0" applyProtection="0">
      <alignment horizontal="left" vertical="center" indent="1"/>
    </xf>
    <xf numFmtId="0" fontId="36" fillId="48" borderId="34" applyNumberFormat="0" applyProtection="0">
      <alignment horizontal="left" vertical="center" indent="1"/>
    </xf>
    <xf numFmtId="0" fontId="36" fillId="48" borderId="34" applyNumberFormat="0" applyProtection="0">
      <alignment horizontal="left" vertical="center" indent="1"/>
    </xf>
    <xf numFmtId="4" fontId="54" fillId="30" borderId="36" applyNumberFormat="0" applyProtection="0">
      <alignment vertical="center"/>
    </xf>
    <xf numFmtId="4" fontId="55" fillId="30" borderId="36" applyNumberFormat="0" applyProtection="0">
      <alignment vertical="center"/>
    </xf>
    <xf numFmtId="4" fontId="48" fillId="44" borderId="36" applyNumberFormat="0" applyProtection="0">
      <alignment horizontal="left" vertical="center"/>
    </xf>
    <xf numFmtId="4" fontId="18" fillId="29" borderId="34" applyNumberFormat="0" applyProtection="0">
      <alignment horizontal="left" vertical="center" indent="1"/>
    </xf>
    <xf numFmtId="4" fontId="56" fillId="30" borderId="36" applyNumberFormat="0" applyProtection="0">
      <alignment vertical="center"/>
    </xf>
    <xf numFmtId="4" fontId="57" fillId="30" borderId="36" applyNumberFormat="0" applyProtection="0">
      <alignment vertical="center"/>
    </xf>
    <xf numFmtId="4" fontId="48" fillId="44" borderId="36" applyNumberFormat="0" applyProtection="0">
      <alignment horizontal="left" vertical="center"/>
    </xf>
    <xf numFmtId="0" fontId="36" fillId="48" borderId="34" applyNumberFormat="0" applyProtection="0">
      <alignment horizontal="left" vertical="center" indent="1"/>
    </xf>
    <xf numFmtId="4" fontId="58" fillId="30" borderId="36" applyNumberFormat="0" applyProtection="0">
      <alignment vertical="center"/>
    </xf>
    <xf numFmtId="4" fontId="59" fillId="30" borderId="36" applyNumberFormat="0" applyProtection="0">
      <alignment vertical="center"/>
    </xf>
    <xf numFmtId="4" fontId="48" fillId="29" borderId="36" applyNumberFormat="0" applyProtection="0">
      <alignment horizontal="left" vertical="center"/>
    </xf>
    <xf numFmtId="4" fontId="60" fillId="45" borderId="36" applyNumberFormat="0" applyProtection="0">
      <alignment horizontal="left"/>
    </xf>
    <xf numFmtId="4" fontId="61" fillId="30" borderId="36" applyNumberForma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3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5" fillId="0" borderId="0"/>
    <xf numFmtId="0" fontId="66" fillId="0" borderId="0" applyNumberFormat="0" applyFill="0" applyBorder="0" applyAlignment="0" applyProtection="0">
      <alignment vertical="center"/>
    </xf>
    <xf numFmtId="0" fontId="20" fillId="28" borderId="26" applyNumberFormat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5" fillId="15" borderId="33" applyNumberFormat="0" applyFont="0" applyAlignment="0" applyProtection="0">
      <alignment vertical="center"/>
    </xf>
    <xf numFmtId="0" fontId="64" fillId="0" borderId="3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8" fillId="51" borderId="2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9" applyNumberFormat="0" applyFill="0" applyAlignment="0" applyProtection="0">
      <alignment vertical="center"/>
    </xf>
    <xf numFmtId="0" fontId="71" fillId="0" borderId="40" applyNumberFormat="0" applyFill="0" applyAlignment="0" applyProtection="0">
      <alignment vertical="center"/>
    </xf>
    <xf numFmtId="0" fontId="72" fillId="0" borderId="41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4" fillId="0" borderId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63" fillId="0" borderId="42" applyNumberFormat="0" applyFill="0" applyAlignment="0" applyProtection="0">
      <alignment vertical="center"/>
    </xf>
    <xf numFmtId="0" fontId="37" fillId="51" borderId="34" applyNumberFormat="0" applyAlignment="0" applyProtection="0">
      <alignment vertical="center"/>
    </xf>
    <xf numFmtId="0" fontId="10" fillId="0" borderId="0"/>
    <xf numFmtId="0" fontId="22" fillId="0" borderId="0" applyNumberFormat="0" applyFill="0" applyBorder="0" applyAlignment="0" applyProtection="0">
      <alignment vertical="center"/>
    </xf>
    <xf numFmtId="177" fontId="76" fillId="0" borderId="0" applyFont="0" applyFill="0" applyBorder="0" applyAlignment="0" applyProtection="0"/>
    <xf numFmtId="176" fontId="76" fillId="0" borderId="0" applyFont="0" applyFill="0" applyBorder="0" applyAlignment="0" applyProtection="0"/>
    <xf numFmtId="0" fontId="10" fillId="15" borderId="33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top"/>
      <protection locked="0"/>
    </xf>
    <xf numFmtId="0" fontId="31" fillId="18" borderId="25" applyNumberFormat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65" fillId="0" borderId="0"/>
    <xf numFmtId="0" fontId="65" fillId="0" borderId="0"/>
    <xf numFmtId="0" fontId="78" fillId="0" borderId="0"/>
    <xf numFmtId="0" fontId="23" fillId="1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9" applyNumberFormat="0" applyFill="0" applyAlignment="0" applyProtection="0">
      <alignment vertical="center"/>
    </xf>
    <xf numFmtId="0" fontId="81" fillId="0" borderId="30" applyNumberFormat="0" applyFill="0" applyAlignment="0" applyProtection="0">
      <alignment vertical="center"/>
    </xf>
    <xf numFmtId="0" fontId="82" fillId="0" borderId="31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28" borderId="26" applyNumberFormat="0" applyAlignment="0" applyProtection="0">
      <alignment vertical="center"/>
    </xf>
    <xf numFmtId="0" fontId="84" fillId="0" borderId="37" applyNumberFormat="0" applyFill="0" applyAlignment="0" applyProtection="0">
      <alignment vertical="center"/>
    </xf>
    <xf numFmtId="0" fontId="85" fillId="27" borderId="25" applyNumberFormat="0" applyAlignment="0" applyProtection="0">
      <alignment vertical="center"/>
    </xf>
    <xf numFmtId="0" fontId="86" fillId="27" borderId="34" applyNumberFormat="0" applyAlignment="0" applyProtection="0">
      <alignment vertical="center"/>
    </xf>
    <xf numFmtId="0" fontId="87" fillId="12" borderId="25" applyNumberFormat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9" fillId="0" borderId="32" applyNumberFormat="0" applyFill="0" applyAlignment="0" applyProtection="0">
      <alignment vertical="center"/>
    </xf>
    <xf numFmtId="0" fontId="10" fillId="0" borderId="0">
      <alignment vertical="center"/>
    </xf>
    <xf numFmtId="0" fontId="32" fillId="0" borderId="0"/>
    <xf numFmtId="0" fontId="10" fillId="0" borderId="0"/>
    <xf numFmtId="0" fontId="32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</cellStyleXfs>
  <cellXfs count="45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2" borderId="2" xfId="0" applyFill="1" applyBorder="1" applyAlignment="1">
      <alignment horizontal="left" vertical="center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horizontal="left" vertical="top"/>
    </xf>
    <xf numFmtId="0" fontId="0" fillId="6" borderId="7" xfId="0" applyFill="1" applyBorder="1"/>
    <xf numFmtId="0" fontId="0" fillId="0" borderId="7" xfId="0" applyBorder="1"/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0" fillId="0" borderId="0" xfId="0" applyFont="1"/>
    <xf numFmtId="0" fontId="91" fillId="0" borderId="0" xfId="308" applyFont="1">
      <alignment vertical="center"/>
    </xf>
    <xf numFmtId="0" fontId="92" fillId="0" borderId="0" xfId="280" applyFont="1" applyAlignment="1">
      <alignment horizontal="left" vertical="center"/>
    </xf>
    <xf numFmtId="0" fontId="92" fillId="0" borderId="46" xfId="280" applyFont="1" applyBorder="1" applyAlignment="1">
      <alignment horizontal="left" vertical="center"/>
    </xf>
    <xf numFmtId="0" fontId="92" fillId="0" borderId="27" xfId="280" applyFont="1" applyBorder="1" applyAlignment="1">
      <alignment horizontal="left" vertical="center"/>
    </xf>
    <xf numFmtId="49" fontId="93" fillId="0" borderId="27" xfId="280" applyNumberFormat="1" applyFont="1" applyBorder="1" applyAlignment="1" applyProtection="1">
      <alignment horizontal="left" vertical="center"/>
      <protection locked="0"/>
    </xf>
    <xf numFmtId="49" fontId="93" fillId="0" borderId="47" xfId="280" applyNumberFormat="1" applyFont="1" applyBorder="1" applyAlignment="1" applyProtection="1">
      <alignment horizontal="left" vertical="center"/>
      <protection locked="0"/>
    </xf>
    <xf numFmtId="0" fontId="94" fillId="0" borderId="0" xfId="280" applyFont="1" applyAlignment="1" applyProtection="1">
      <protection locked="0"/>
    </xf>
    <xf numFmtId="0" fontId="94" fillId="0" borderId="48" xfId="280" applyFont="1" applyBorder="1" applyAlignment="1" applyProtection="1">
      <protection locked="0"/>
    </xf>
    <xf numFmtId="0" fontId="94" fillId="0" borderId="49" xfId="280" applyFont="1" applyBorder="1" applyAlignment="1" applyProtection="1">
      <protection locked="0"/>
    </xf>
    <xf numFmtId="0" fontId="92" fillId="0" borderId="0" xfId="280" applyFont="1" applyAlignment="1" applyProtection="1">
      <protection locked="0"/>
    </xf>
    <xf numFmtId="0" fontId="96" fillId="0" borderId="0" xfId="280" applyFont="1">
      <alignment vertical="center"/>
    </xf>
    <xf numFmtId="0" fontId="97" fillId="0" borderId="0" xfId="280" applyFont="1" applyAlignment="1">
      <alignment horizontal="center" vertical="center"/>
    </xf>
    <xf numFmtId="49" fontId="92" fillId="0" borderId="0" xfId="280" applyNumberFormat="1" applyFont="1" applyAlignment="1" applyProtection="1">
      <alignment horizontal="left" vertical="center"/>
      <protection locked="0"/>
    </xf>
    <xf numFmtId="49" fontId="92" fillId="0" borderId="48" xfId="280" applyNumberFormat="1" applyFont="1" applyBorder="1" applyAlignment="1" applyProtection="1">
      <alignment horizontal="left" vertical="center"/>
      <protection locked="0"/>
    </xf>
    <xf numFmtId="0" fontId="92" fillId="0" borderId="49" xfId="280" applyFont="1" applyBorder="1" applyAlignment="1">
      <alignment horizontal="left" vertical="center"/>
    </xf>
    <xf numFmtId="0" fontId="94" fillId="0" borderId="0" xfId="280" applyFont="1" applyAlignment="1"/>
    <xf numFmtId="0" fontId="91" fillId="0" borderId="49" xfId="308" applyFont="1" applyBorder="1">
      <alignment vertical="center"/>
    </xf>
    <xf numFmtId="49" fontId="92" fillId="0" borderId="49" xfId="280" applyNumberFormat="1" applyFont="1" applyBorder="1" applyAlignment="1" applyProtection="1">
      <alignment horizontal="left" vertical="center"/>
      <protection locked="0"/>
    </xf>
    <xf numFmtId="0" fontId="101" fillId="0" borderId="0" xfId="280" applyFont="1">
      <alignment vertical="center"/>
    </xf>
    <xf numFmtId="0" fontId="92" fillId="0" borderId="0" xfId="280" applyFont="1" applyAlignment="1"/>
    <xf numFmtId="0" fontId="92" fillId="0" borderId="0" xfId="280" applyFont="1" applyAlignment="1">
      <alignment horizontal="center" vertical="center"/>
    </xf>
    <xf numFmtId="0" fontId="92" fillId="0" borderId="48" xfId="280" applyFont="1" applyBorder="1" applyAlignment="1">
      <alignment horizontal="center" vertical="center"/>
    </xf>
    <xf numFmtId="0" fontId="92" fillId="0" borderId="0" xfId="280" applyFont="1" applyAlignment="1">
      <alignment horizontal="center"/>
    </xf>
    <xf numFmtId="0" fontId="92" fillId="0" borderId="48" xfId="280" applyFont="1" applyBorder="1" applyAlignment="1">
      <alignment horizontal="center"/>
    </xf>
    <xf numFmtId="0" fontId="92" fillId="0" borderId="49" xfId="280" applyFont="1" applyBorder="1" applyAlignment="1">
      <alignment horizontal="left"/>
    </xf>
    <xf numFmtId="0" fontId="94" fillId="0" borderId="50" xfId="280" applyFont="1" applyBorder="1" applyAlignment="1" applyProtection="1">
      <protection locked="0"/>
    </xf>
    <xf numFmtId="0" fontId="92" fillId="0" borderId="35" xfId="280" applyFont="1" applyBorder="1" applyAlignment="1" applyProtection="1">
      <protection locked="0"/>
    </xf>
    <xf numFmtId="0" fontId="94" fillId="0" borderId="51" xfId="280" applyFont="1" applyBorder="1" applyAlignment="1" applyProtection="1">
      <protection locked="0"/>
    </xf>
    <xf numFmtId="180" fontId="102" fillId="0" borderId="0" xfId="309" applyNumberFormat="1" applyFont="1" applyAlignment="1">
      <alignment vertical="center"/>
    </xf>
    <xf numFmtId="0" fontId="102" fillId="0" borderId="0" xfId="309" applyFont="1" applyAlignment="1">
      <alignment vertical="center"/>
    </xf>
    <xf numFmtId="0" fontId="103" fillId="0" borderId="0" xfId="309" applyFont="1" applyAlignment="1">
      <alignment horizontal="center" vertical="center"/>
    </xf>
    <xf numFmtId="0" fontId="102" fillId="0" borderId="0" xfId="309" applyFont="1" applyAlignment="1">
      <alignment horizontal="center" vertical="center"/>
    </xf>
    <xf numFmtId="180" fontId="102" fillId="0" borderId="0" xfId="309" applyNumberFormat="1" applyFont="1" applyAlignment="1">
      <alignment horizontal="center" vertical="center" wrapText="1"/>
    </xf>
    <xf numFmtId="14" fontId="102" fillId="0" borderId="0" xfId="309" applyNumberFormat="1" applyFont="1" applyAlignment="1">
      <alignment horizontal="center" vertical="center"/>
    </xf>
    <xf numFmtId="180" fontId="102" fillId="0" borderId="7" xfId="310" applyNumberFormat="1" applyFont="1" applyBorder="1" applyAlignment="1">
      <alignment vertical="center"/>
    </xf>
    <xf numFmtId="0" fontId="0" fillId="3" borderId="44" xfId="0" applyFill="1" applyBorder="1" applyAlignment="1">
      <alignment horizontal="left" vertical="top"/>
    </xf>
    <xf numFmtId="0" fontId="0" fillId="3" borderId="52" xfId="0" applyFill="1" applyBorder="1" applyAlignment="1">
      <alignment horizontal="left" vertical="top"/>
    </xf>
    <xf numFmtId="0" fontId="0" fillId="53" borderId="7" xfId="0" applyFill="1" applyBorder="1" applyAlignment="1">
      <alignment horizontal="left" vertical="top"/>
    </xf>
    <xf numFmtId="0" fontId="0" fillId="53" borderId="3" xfId="0" applyFill="1" applyBorder="1" applyAlignment="1">
      <alignment horizontal="left" vertical="top"/>
    </xf>
    <xf numFmtId="0" fontId="0" fillId="52" borderId="52" xfId="0" applyFill="1" applyBorder="1" applyAlignment="1">
      <alignment horizontal="left" vertical="top" wrapText="1"/>
    </xf>
    <xf numFmtId="0" fontId="0" fillId="6" borderId="52" xfId="0" applyFill="1" applyBorder="1"/>
    <xf numFmtId="0" fontId="0" fillId="3" borderId="53" xfId="0" applyFill="1" applyBorder="1" applyAlignment="1">
      <alignment horizontal="left" vertical="top"/>
    </xf>
    <xf numFmtId="0" fontId="0" fillId="53" borderId="53" xfId="0" applyFill="1" applyBorder="1" applyAlignment="1">
      <alignment horizontal="left" vertical="top"/>
    </xf>
    <xf numFmtId="0" fontId="0" fillId="52" borderId="53" xfId="0" applyFill="1" applyBorder="1" applyAlignment="1">
      <alignment horizontal="left" vertical="top" wrapText="1"/>
    </xf>
    <xf numFmtId="0" fontId="0" fillId="6" borderId="53" xfId="0" applyFill="1" applyBorder="1"/>
    <xf numFmtId="0" fontId="0" fillId="0" borderId="7" xfId="0" applyBorder="1" applyAlignment="1">
      <alignment horizontal="left" vertical="top"/>
    </xf>
    <xf numFmtId="0" fontId="0" fillId="0" borderId="7" xfId="0" quotePrefix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54" xfId="0" applyBorder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3" borderId="54" xfId="0" applyFill="1" applyBorder="1" applyAlignment="1">
      <alignment horizontal="left" vertical="top"/>
    </xf>
    <xf numFmtId="0" fontId="0" fillId="52" borderId="54" xfId="0" applyFill="1" applyBorder="1" applyAlignment="1">
      <alignment horizontal="left" vertical="top" wrapText="1"/>
    </xf>
    <xf numFmtId="0" fontId="0" fillId="6" borderId="54" xfId="0" applyFill="1" applyBorder="1"/>
    <xf numFmtId="0" fontId="0" fillId="0" borderId="56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2" borderId="5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7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57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57" xfId="0" applyBorder="1"/>
    <xf numFmtId="0" fontId="0" fillId="0" borderId="1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57" xfId="0" applyBorder="1" applyAlignment="1">
      <alignment horizontal="left" vertical="center"/>
    </xf>
    <xf numFmtId="0" fontId="0" fillId="53" borderId="56" xfId="0" applyFill="1" applyBorder="1" applyAlignment="1">
      <alignment horizontal="left" vertical="top"/>
    </xf>
    <xf numFmtId="0" fontId="0" fillId="53" borderId="1" xfId="0" applyFill="1" applyBorder="1" applyAlignment="1">
      <alignment horizontal="left" vertical="top"/>
    </xf>
    <xf numFmtId="0" fontId="0" fillId="53" borderId="57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02" fillId="0" borderId="0" xfId="311" applyFont="1" applyAlignment="1">
      <alignment vertical="center"/>
    </xf>
    <xf numFmtId="0" fontId="107" fillId="0" borderId="56" xfId="0" applyFont="1" applyBorder="1" applyAlignment="1">
      <alignment horizontal="left" vertical="center"/>
    </xf>
    <xf numFmtId="0" fontId="107" fillId="0" borderId="0" xfId="0" applyFont="1"/>
    <xf numFmtId="0" fontId="107" fillId="5" borderId="56" xfId="0" applyFont="1" applyFill="1" applyBorder="1" applyAlignment="1">
      <alignment vertical="top"/>
    </xf>
    <xf numFmtId="0" fontId="107" fillId="5" borderId="55" xfId="0" applyFont="1" applyFill="1" applyBorder="1" applyAlignment="1">
      <alignment vertical="top"/>
    </xf>
    <xf numFmtId="0" fontId="107" fillId="5" borderId="1" xfId="0" applyFont="1" applyFill="1" applyBorder="1" applyAlignment="1">
      <alignment vertical="center"/>
    </xf>
    <xf numFmtId="0" fontId="107" fillId="5" borderId="1" xfId="0" applyFont="1" applyFill="1" applyBorder="1" applyAlignment="1">
      <alignment vertical="top"/>
    </xf>
    <xf numFmtId="0" fontId="107" fillId="5" borderId="57" xfId="0" applyFont="1" applyFill="1" applyBorder="1" applyAlignment="1">
      <alignment vertical="top"/>
    </xf>
    <xf numFmtId="0" fontId="107" fillId="0" borderId="1" xfId="0" applyFont="1" applyBorder="1"/>
    <xf numFmtId="0" fontId="107" fillId="0" borderId="57" xfId="0" applyFont="1" applyBorder="1"/>
    <xf numFmtId="49" fontId="108" fillId="0" borderId="0" xfId="0" applyNumberFormat="1" applyFont="1" applyBorder="1" applyAlignment="1">
      <alignment horizontal="left" vertical="center"/>
    </xf>
    <xf numFmtId="0" fontId="107" fillId="4" borderId="43" xfId="0" applyFont="1" applyFill="1" applyBorder="1" applyAlignment="1">
      <alignment horizontal="center" vertical="center"/>
    </xf>
    <xf numFmtId="0" fontId="107" fillId="4" borderId="45" xfId="0" applyFont="1" applyFill="1" applyBorder="1" applyAlignment="1">
      <alignment horizontal="center" vertical="center"/>
    </xf>
    <xf numFmtId="0" fontId="107" fillId="4" borderId="20" xfId="0" applyFont="1" applyFill="1" applyBorder="1" applyAlignment="1">
      <alignment vertical="center"/>
    </xf>
    <xf numFmtId="0" fontId="107" fillId="4" borderId="18" xfId="0" applyFont="1" applyFill="1" applyBorder="1" applyAlignment="1">
      <alignment vertical="center"/>
    </xf>
    <xf numFmtId="0" fontId="107" fillId="4" borderId="19" xfId="0" applyFont="1" applyFill="1" applyBorder="1" applyAlignment="1">
      <alignment vertical="center"/>
    </xf>
    <xf numFmtId="0" fontId="107" fillId="4" borderId="58" xfId="0" applyFont="1" applyFill="1" applyBorder="1" applyAlignment="1">
      <alignment horizontal="center" vertical="center"/>
    </xf>
    <xf numFmtId="0" fontId="107" fillId="4" borderId="19" xfId="0" applyFont="1" applyFill="1" applyBorder="1" applyAlignment="1">
      <alignment horizontal="center" vertical="center"/>
    </xf>
    <xf numFmtId="0" fontId="107" fillId="4" borderId="6" xfId="0" applyFont="1" applyFill="1" applyBorder="1" applyAlignment="1">
      <alignment horizontal="center" vertical="center"/>
    </xf>
    <xf numFmtId="0" fontId="107" fillId="4" borderId="59" xfId="0" applyFont="1" applyFill="1" applyBorder="1" applyAlignment="1">
      <alignment vertical="center"/>
    </xf>
    <xf numFmtId="0" fontId="107" fillId="4" borderId="15" xfId="0" applyFont="1" applyFill="1" applyBorder="1" applyAlignment="1">
      <alignment vertical="center"/>
    </xf>
    <xf numFmtId="0" fontId="107" fillId="4" borderId="22" xfId="0" applyFont="1" applyFill="1" applyBorder="1" applyAlignment="1">
      <alignment vertical="center"/>
    </xf>
    <xf numFmtId="0" fontId="107" fillId="4" borderId="23" xfId="0" applyFont="1" applyFill="1" applyBorder="1" applyAlignment="1">
      <alignment vertical="center"/>
    </xf>
    <xf numFmtId="0" fontId="107" fillId="4" borderId="60" xfId="0" applyFont="1" applyFill="1" applyBorder="1" applyAlignment="1">
      <alignment horizontal="center" vertical="center"/>
    </xf>
    <xf numFmtId="0" fontId="107" fillId="4" borderId="23" xfId="0" applyFont="1" applyFill="1" applyBorder="1" applyAlignment="1">
      <alignment horizontal="center" vertical="center"/>
    </xf>
    <xf numFmtId="0" fontId="107" fillId="4" borderId="24" xfId="0" applyFont="1" applyFill="1" applyBorder="1" applyAlignment="1">
      <alignment vertical="center"/>
    </xf>
    <xf numFmtId="0" fontId="107" fillId="4" borderId="60" xfId="0" applyFont="1" applyFill="1" applyBorder="1" applyAlignment="1">
      <alignment horizontal="left" vertical="top"/>
    </xf>
    <xf numFmtId="0" fontId="107" fillId="4" borderId="23" xfId="0" applyFont="1" applyFill="1" applyBorder="1" applyAlignment="1">
      <alignment horizontal="left" vertical="top"/>
    </xf>
    <xf numFmtId="0" fontId="107" fillId="4" borderId="0" xfId="0" applyFont="1" applyFill="1" applyAlignment="1">
      <alignment horizontal="left" vertical="center"/>
    </xf>
    <xf numFmtId="0" fontId="107" fillId="4" borderId="0" xfId="0" applyFont="1" applyFill="1" applyAlignment="1">
      <alignment horizontal="left" vertical="top"/>
    </xf>
    <xf numFmtId="0" fontId="107" fillId="4" borderId="0" xfId="0" applyFont="1" applyFill="1" applyAlignment="1">
      <alignment vertical="center"/>
    </xf>
    <xf numFmtId="0" fontId="107" fillId="4" borderId="6" xfId="0" applyFont="1" applyFill="1" applyBorder="1" applyAlignment="1">
      <alignment horizontal="left" vertical="center"/>
    </xf>
    <xf numFmtId="0" fontId="107" fillId="4" borderId="24" xfId="0" applyFont="1" applyFill="1" applyBorder="1" applyAlignment="1">
      <alignment horizontal="left" vertical="top"/>
    </xf>
    <xf numFmtId="0" fontId="107" fillId="4" borderId="22" xfId="0" applyFont="1" applyFill="1" applyBorder="1" applyAlignment="1">
      <alignment horizontal="left" vertical="top"/>
    </xf>
    <xf numFmtId="0" fontId="107" fillId="4" borderId="61" xfId="0" applyFont="1" applyFill="1" applyBorder="1" applyAlignment="1">
      <alignment horizontal="left" vertical="top"/>
    </xf>
    <xf numFmtId="0" fontId="107" fillId="4" borderId="14" xfId="0" applyFont="1" applyFill="1" applyBorder="1" applyAlignment="1">
      <alignment horizontal="left" vertical="top"/>
    </xf>
    <xf numFmtId="0" fontId="107" fillId="4" borderId="62" xfId="0" applyFont="1" applyFill="1" applyBorder="1" applyAlignment="1">
      <alignment horizontal="left" vertical="top"/>
    </xf>
    <xf numFmtId="0" fontId="107" fillId="4" borderId="13" xfId="0" applyFont="1" applyFill="1" applyBorder="1" applyAlignment="1">
      <alignment horizontal="left" vertical="top"/>
    </xf>
    <xf numFmtId="0" fontId="107" fillId="4" borderId="3" xfId="0" applyFont="1" applyFill="1" applyBorder="1" applyAlignment="1">
      <alignment horizontal="left" vertical="center"/>
    </xf>
    <xf numFmtId="0" fontId="107" fillId="4" borderId="3" xfId="0" applyFont="1" applyFill="1" applyBorder="1" applyAlignment="1">
      <alignment horizontal="left" vertical="top"/>
    </xf>
    <xf numFmtId="0" fontId="107" fillId="4" borderId="3" xfId="0" applyFont="1" applyFill="1" applyBorder="1" applyAlignment="1">
      <alignment vertical="center"/>
    </xf>
    <xf numFmtId="0" fontId="107" fillId="4" borderId="4" xfId="0" applyFont="1" applyFill="1" applyBorder="1" applyAlignment="1">
      <alignment horizontal="left" vertical="center"/>
    </xf>
    <xf numFmtId="0" fontId="107" fillId="4" borderId="8" xfId="0" applyFont="1" applyFill="1" applyBorder="1" applyAlignment="1">
      <alignment horizontal="left" vertical="top"/>
    </xf>
    <xf numFmtId="0" fontId="107" fillId="4" borderId="9" xfId="0" applyFont="1" applyFill="1" applyBorder="1" applyAlignment="1">
      <alignment horizontal="left" vertical="top"/>
    </xf>
    <xf numFmtId="0" fontId="107" fillId="4" borderId="10" xfId="0" applyFont="1" applyFill="1" applyBorder="1" applyAlignment="1">
      <alignment horizontal="left" vertical="top"/>
    </xf>
    <xf numFmtId="0" fontId="107" fillId="4" borderId="63" xfId="0" applyFont="1" applyFill="1" applyBorder="1" applyAlignment="1">
      <alignment horizontal="left" vertical="top"/>
    </xf>
    <xf numFmtId="0" fontId="107" fillId="0" borderId="7" xfId="0" applyFont="1" applyBorder="1" applyAlignment="1">
      <alignment horizontal="left" vertical="top" wrapText="1"/>
    </xf>
    <xf numFmtId="0" fontId="0" fillId="0" borderId="7" xfId="0" applyFill="1" applyBorder="1"/>
    <xf numFmtId="0" fontId="107" fillId="0" borderId="7" xfId="0" applyFont="1" applyFill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107" fillId="0" borderId="0" xfId="0" applyFont="1" applyAlignment="1">
      <alignment horizontal="left" vertical="center"/>
    </xf>
    <xf numFmtId="0" fontId="109" fillId="0" borderId="0" xfId="0" applyFont="1"/>
    <xf numFmtId="0" fontId="107" fillId="0" borderId="0" xfId="0" applyFont="1" applyAlignment="1">
      <alignment vertical="center"/>
    </xf>
    <xf numFmtId="0" fontId="107" fillId="0" borderId="1" xfId="0" applyFont="1" applyBorder="1" applyAlignment="1">
      <alignment horizontal="left" vertical="center"/>
    </xf>
    <xf numFmtId="0" fontId="107" fillId="0" borderId="1" xfId="0" applyFont="1" applyBorder="1" applyAlignment="1">
      <alignment vertical="center"/>
    </xf>
    <xf numFmtId="0" fontId="107" fillId="0" borderId="2" xfId="0" applyFont="1" applyBorder="1" applyAlignment="1">
      <alignment horizontal="left" vertical="center"/>
    </xf>
    <xf numFmtId="0" fontId="107" fillId="0" borderId="3" xfId="0" applyFont="1" applyBorder="1" applyAlignment="1">
      <alignment horizontal="left" vertical="center"/>
    </xf>
    <xf numFmtId="0" fontId="107" fillId="0" borderId="4" xfId="0" applyFont="1" applyBorder="1" applyAlignment="1">
      <alignment horizontal="left" vertical="center"/>
    </xf>
    <xf numFmtId="0" fontId="107" fillId="0" borderId="56" xfId="0" applyFont="1" applyBorder="1" applyAlignment="1">
      <alignment vertical="center"/>
    </xf>
    <xf numFmtId="0" fontId="107" fillId="0" borderId="57" xfId="0" applyFont="1" applyBorder="1" applyAlignment="1">
      <alignment horizontal="left" vertical="center"/>
    </xf>
    <xf numFmtId="0" fontId="107" fillId="0" borderId="44" xfId="0" applyFont="1" applyBorder="1" applyAlignment="1">
      <alignment vertical="center"/>
    </xf>
    <xf numFmtId="0" fontId="107" fillId="0" borderId="43" xfId="0" applyFont="1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5" xfId="0" applyBorder="1" applyAlignment="1">
      <alignment vertical="center"/>
    </xf>
    <xf numFmtId="0" fontId="110" fillId="0" borderId="1" xfId="0" applyFont="1" applyBorder="1" applyAlignment="1">
      <alignment horizontal="left" vertical="center"/>
    </xf>
    <xf numFmtId="0" fontId="110" fillId="0" borderId="57" xfId="0" applyFont="1" applyBorder="1" applyAlignment="1">
      <alignment horizontal="left" vertical="center"/>
    </xf>
    <xf numFmtId="0" fontId="107" fillId="0" borderId="1" xfId="0" applyFont="1" applyBorder="1" applyAlignment="1">
      <alignment horizontal="left" vertical="top"/>
    </xf>
    <xf numFmtId="0" fontId="107" fillId="0" borderId="0" xfId="0" applyFont="1" applyAlignment="1">
      <alignment horizontal="left" vertical="top"/>
    </xf>
    <xf numFmtId="0" fontId="107" fillId="0" borderId="57" xfId="0" applyFont="1" applyBorder="1" applyAlignment="1">
      <alignment vertical="center"/>
    </xf>
    <xf numFmtId="14" fontId="107" fillId="0" borderId="0" xfId="0" applyNumberFormat="1" applyFont="1" applyAlignment="1">
      <alignment vertical="center"/>
    </xf>
    <xf numFmtId="0" fontId="107" fillId="0" borderId="0" xfId="0" applyFont="1" applyAlignment="1">
      <alignment horizontal="center" vertical="center"/>
    </xf>
    <xf numFmtId="0" fontId="107" fillId="0" borderId="18" xfId="0" applyFont="1" applyBorder="1" applyAlignment="1">
      <alignment vertical="top"/>
    </xf>
    <xf numFmtId="0" fontId="107" fillId="0" borderId="18" xfId="0" applyFont="1" applyBorder="1" applyAlignment="1">
      <alignment vertical="center"/>
    </xf>
    <xf numFmtId="0" fontId="107" fillId="0" borderId="22" xfId="0" applyFont="1" applyBorder="1" applyAlignment="1">
      <alignment vertical="top"/>
    </xf>
    <xf numFmtId="0" fontId="107" fillId="0" borderId="22" xfId="0" applyFont="1" applyBorder="1" applyAlignment="1">
      <alignment vertical="center"/>
    </xf>
    <xf numFmtId="0" fontId="107" fillId="0" borderId="13" xfId="0" applyFont="1" applyBorder="1" applyAlignment="1">
      <alignment vertical="top" wrapText="1"/>
    </xf>
    <xf numFmtId="0" fontId="107" fillId="0" borderId="9" xfId="0" applyFont="1" applyBorder="1" applyAlignment="1">
      <alignment vertical="top"/>
    </xf>
    <xf numFmtId="0" fontId="107" fillId="0" borderId="9" xfId="0" applyFont="1" applyBorder="1" applyAlignment="1">
      <alignment vertical="center"/>
    </xf>
    <xf numFmtId="0" fontId="107" fillId="6" borderId="2" xfId="0" applyFont="1" applyFill="1" applyBorder="1" applyAlignment="1">
      <alignment horizontal="left" vertical="center"/>
    </xf>
    <xf numFmtId="0" fontId="0" fillId="0" borderId="56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111" fillId="0" borderId="0" xfId="314" applyFont="1">
      <alignment vertical="center"/>
    </xf>
    <xf numFmtId="0" fontId="111" fillId="0" borderId="0" xfId="314" applyFont="1" applyAlignment="1">
      <alignment horizontal="center" vertical="center"/>
    </xf>
    <xf numFmtId="0" fontId="102" fillId="0" borderId="0" xfId="314" applyFont="1">
      <alignment vertical="center"/>
    </xf>
    <xf numFmtId="0" fontId="115" fillId="0" borderId="0" xfId="314" applyFont="1" applyAlignment="1">
      <alignment horizontal="left" vertical="center"/>
    </xf>
    <xf numFmtId="0" fontId="102" fillId="0" borderId="0" xfId="314" applyFont="1" applyAlignment="1">
      <alignment horizontal="left" vertical="center"/>
    </xf>
    <xf numFmtId="0" fontId="111" fillId="0" borderId="7" xfId="314" applyFont="1" applyBorder="1">
      <alignment vertical="center"/>
    </xf>
    <xf numFmtId="0" fontId="111" fillId="0" borderId="7" xfId="314" applyFont="1" applyBorder="1" applyAlignment="1">
      <alignment horizontal="center" vertical="center"/>
    </xf>
    <xf numFmtId="1" fontId="102" fillId="53" borderId="7" xfId="314" applyNumberFormat="1" applyFont="1" applyFill="1" applyBorder="1" applyAlignment="1">
      <alignment horizontal="left" vertical="top" wrapText="1"/>
    </xf>
    <xf numFmtId="1" fontId="102" fillId="53" borderId="65" xfId="314" applyNumberFormat="1" applyFont="1" applyFill="1" applyBorder="1" applyAlignment="1">
      <alignment horizontal="left" vertical="top" wrapText="1"/>
    </xf>
    <xf numFmtId="0" fontId="102" fillId="0" borderId="7" xfId="314" applyFont="1" applyBorder="1">
      <alignment vertical="center"/>
    </xf>
    <xf numFmtId="0" fontId="102" fillId="0" borderId="7" xfId="314" quotePrefix="1" applyFont="1" applyBorder="1">
      <alignment vertical="center"/>
    </xf>
    <xf numFmtId="0" fontId="102" fillId="0" borderId="7" xfId="314" applyFont="1" applyBorder="1" applyAlignment="1">
      <alignment horizontal="center" vertical="center"/>
    </xf>
    <xf numFmtId="0" fontId="102" fillId="0" borderId="7" xfId="314" quotePrefix="1" applyFont="1" applyBorder="1" applyAlignment="1">
      <alignment horizontal="center" vertical="center"/>
    </xf>
    <xf numFmtId="0" fontId="114" fillId="0" borderId="7" xfId="314" applyFont="1" applyBorder="1" applyAlignment="1">
      <alignment horizontal="center" vertical="center"/>
    </xf>
    <xf numFmtId="0" fontId="102" fillId="0" borderId="7" xfId="314" applyFont="1" applyBorder="1" applyAlignment="1">
      <alignment vertical="center" wrapText="1"/>
    </xf>
    <xf numFmtId="1" fontId="116" fillId="53" borderId="7" xfId="314" applyNumberFormat="1" applyFont="1" applyFill="1" applyBorder="1" applyAlignment="1">
      <alignment horizontal="left" vertical="top" wrapText="1"/>
    </xf>
    <xf numFmtId="1" fontId="116" fillId="53" borderId="65" xfId="314" applyNumberFormat="1" applyFont="1" applyFill="1" applyBorder="1" applyAlignment="1">
      <alignment horizontal="left" vertical="top" wrapText="1"/>
    </xf>
    <xf numFmtId="1" fontId="102" fillId="53" borderId="66" xfId="314" applyNumberFormat="1" applyFont="1" applyFill="1" applyBorder="1" applyAlignment="1">
      <alignment horizontal="left" vertical="top" wrapText="1"/>
    </xf>
    <xf numFmtId="1" fontId="102" fillId="53" borderId="67" xfId="314" applyNumberFormat="1" applyFont="1" applyFill="1" applyBorder="1" applyAlignment="1">
      <alignment horizontal="left" vertical="top" wrapText="1"/>
    </xf>
    <xf numFmtId="0" fontId="115" fillId="0" borderId="7" xfId="314" applyFont="1" applyBorder="1">
      <alignment vertical="center"/>
    </xf>
    <xf numFmtId="0" fontId="111" fillId="56" borderId="7" xfId="314" applyFont="1" applyFill="1" applyBorder="1" applyAlignment="1">
      <alignment horizontal="center" vertical="center"/>
    </xf>
    <xf numFmtId="0" fontId="111" fillId="56" borderId="7" xfId="314" applyFont="1" applyFill="1" applyBorder="1" applyAlignment="1">
      <alignment horizontal="center" vertical="center" wrapText="1"/>
    </xf>
    <xf numFmtId="0" fontId="112" fillId="55" borderId="7" xfId="314" applyFont="1" applyFill="1" applyBorder="1" applyAlignment="1">
      <alignment horizontal="center" vertical="center"/>
    </xf>
    <xf numFmtId="0" fontId="102" fillId="54" borderId="7" xfId="314" applyFont="1" applyFill="1" applyBorder="1" applyAlignment="1">
      <alignment horizontal="center" vertical="center" wrapText="1"/>
    </xf>
    <xf numFmtId="0" fontId="102" fillId="54" borderId="7" xfId="314" quotePrefix="1" applyFont="1" applyFill="1" applyBorder="1" applyAlignment="1">
      <alignment horizontal="center" vertical="center" wrapText="1"/>
    </xf>
    <xf numFmtId="0" fontId="113" fillId="0" borderId="0" xfId="314" applyFont="1">
      <alignment vertical="center"/>
    </xf>
    <xf numFmtId="0" fontId="111" fillId="0" borderId="0" xfId="314" applyFont="1" applyAlignment="1">
      <alignment horizontal="left" vertical="center"/>
    </xf>
    <xf numFmtId="0" fontId="112" fillId="0" borderId="0" xfId="314" applyFont="1">
      <alignment vertical="center"/>
    </xf>
    <xf numFmtId="14" fontId="102" fillId="0" borderId="0" xfId="314" applyNumberFormat="1" applyFont="1">
      <alignment vertical="center"/>
    </xf>
    <xf numFmtId="0" fontId="107" fillId="0" borderId="64" xfId="0" applyFont="1" applyBorder="1" applyAlignment="1">
      <alignment vertical="center"/>
    </xf>
    <xf numFmtId="0" fontId="107" fillId="0" borderId="2" xfId="0" applyFont="1" applyBorder="1" applyAlignment="1">
      <alignment vertical="center"/>
    </xf>
    <xf numFmtId="0" fontId="107" fillId="0" borderId="3" xfId="0" applyFont="1" applyBorder="1" applyAlignment="1">
      <alignment vertical="center"/>
    </xf>
    <xf numFmtId="0" fontId="107" fillId="0" borderId="4" xfId="0" applyFont="1" applyBorder="1" applyAlignment="1">
      <alignment vertical="center"/>
    </xf>
    <xf numFmtId="0" fontId="102" fillId="4" borderId="7" xfId="314" quotePrefix="1" applyFont="1" applyFill="1" applyBorder="1" applyAlignment="1">
      <alignment horizontal="center" vertical="center"/>
    </xf>
    <xf numFmtId="0" fontId="102" fillId="4" borderId="7" xfId="314" quotePrefix="1" applyFont="1" applyFill="1" applyBorder="1">
      <alignment vertical="center"/>
    </xf>
    <xf numFmtId="0" fontId="102" fillId="4" borderId="7" xfId="314" applyFont="1" applyFill="1" applyBorder="1">
      <alignment vertical="center"/>
    </xf>
    <xf numFmtId="1" fontId="111" fillId="53" borderId="65" xfId="314" applyNumberFormat="1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/>
    </xf>
    <xf numFmtId="0" fontId="0" fillId="0" borderId="20" xfId="0" applyFill="1" applyBorder="1" applyAlignment="1">
      <alignment vertical="top"/>
    </xf>
    <xf numFmtId="0" fontId="107" fillId="0" borderId="18" xfId="0" applyFont="1" applyFill="1" applyBorder="1" applyAlignment="1">
      <alignment vertical="top"/>
    </xf>
    <xf numFmtId="0" fontId="107" fillId="0" borderId="18" xfId="0" applyFont="1" applyFill="1" applyBorder="1" applyAlignment="1">
      <alignment vertical="center"/>
    </xf>
    <xf numFmtId="0" fontId="0" fillId="0" borderId="24" xfId="0" applyFill="1" applyBorder="1"/>
    <xf numFmtId="0" fontId="0" fillId="0" borderId="22" xfId="0" applyFill="1" applyBorder="1" applyAlignment="1">
      <alignment vertical="top"/>
    </xf>
    <xf numFmtId="0" fontId="107" fillId="0" borderId="22" xfId="0" applyFont="1" applyFill="1" applyBorder="1" applyAlignment="1">
      <alignment vertical="top"/>
    </xf>
    <xf numFmtId="0" fontId="107" fillId="0" borderId="22" xfId="0" applyFont="1" applyFill="1" applyBorder="1" applyAlignment="1">
      <alignment vertical="center"/>
    </xf>
    <xf numFmtId="0" fontId="0" fillId="0" borderId="13" xfId="0" applyFill="1" applyBorder="1" applyAlignment="1">
      <alignment vertical="top"/>
    </xf>
    <xf numFmtId="0" fontId="107" fillId="0" borderId="13" xfId="0" applyFont="1" applyFill="1" applyBorder="1" applyAlignment="1">
      <alignment vertical="top"/>
    </xf>
    <xf numFmtId="0" fontId="107" fillId="0" borderId="13" xfId="0" applyFont="1" applyFill="1" applyBorder="1" applyAlignment="1">
      <alignment vertical="top" wrapText="1"/>
    </xf>
    <xf numFmtId="0" fontId="107" fillId="0" borderId="8" xfId="0" applyFont="1" applyFill="1" applyBorder="1" applyAlignment="1">
      <alignment vertical="top"/>
    </xf>
    <xf numFmtId="0" fontId="107" fillId="0" borderId="9" xfId="0" applyFont="1" applyFill="1" applyBorder="1" applyAlignment="1">
      <alignment vertical="top"/>
    </xf>
    <xf numFmtId="0" fontId="117" fillId="5" borderId="56" xfId="0" applyFont="1" applyFill="1" applyBorder="1" applyAlignment="1">
      <alignment vertical="top"/>
    </xf>
    <xf numFmtId="0" fontId="117" fillId="5" borderId="1" xfId="0" applyFont="1" applyFill="1" applyBorder="1" applyAlignment="1">
      <alignment vertical="center"/>
    </xf>
    <xf numFmtId="0" fontId="117" fillId="5" borderId="1" xfId="0" applyFont="1" applyFill="1" applyBorder="1" applyAlignment="1">
      <alignment vertical="top"/>
    </xf>
    <xf numFmtId="0" fontId="117" fillId="0" borderId="56" xfId="0" applyFont="1" applyBorder="1" applyAlignment="1">
      <alignment vertical="top"/>
    </xf>
    <xf numFmtId="0" fontId="117" fillId="0" borderId="1" xfId="0" applyFont="1" applyBorder="1" applyAlignment="1">
      <alignment vertical="top"/>
    </xf>
    <xf numFmtId="0" fontId="117" fillId="0" borderId="57" xfId="0" applyFont="1" applyBorder="1" applyAlignment="1">
      <alignment vertical="top"/>
    </xf>
    <xf numFmtId="0" fontId="117" fillId="5" borderId="57" xfId="0" applyFont="1" applyFill="1" applyBorder="1" applyAlignment="1">
      <alignment vertical="center"/>
    </xf>
    <xf numFmtId="0" fontId="117" fillId="0" borderId="1" xfId="0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117" fillId="0" borderId="0" xfId="0" applyFont="1"/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3" xfId="0" applyFill="1" applyBorder="1" applyAlignment="1">
      <alignment vertical="top" wrapText="1"/>
    </xf>
    <xf numFmtId="0" fontId="0" fillId="5" borderId="44" xfId="0" applyFont="1" applyFill="1" applyBorder="1" applyAlignment="1">
      <alignment vertical="top"/>
    </xf>
    <xf numFmtId="0" fontId="0" fillId="5" borderId="18" xfId="0" applyFont="1" applyFill="1" applyBorder="1" applyAlignment="1">
      <alignment vertical="center"/>
    </xf>
    <xf numFmtId="0" fontId="0" fillId="5" borderId="19" xfId="0" applyFont="1" applyFill="1" applyBorder="1" applyAlignment="1">
      <alignment vertical="center"/>
    </xf>
    <xf numFmtId="0" fontId="0" fillId="5" borderId="11" xfId="0" applyFont="1" applyFill="1" applyBorder="1" applyAlignment="1">
      <alignment vertical="top"/>
    </xf>
    <xf numFmtId="0" fontId="0" fillId="5" borderId="21" xfId="0" applyFont="1" applyFill="1" applyBorder="1" applyAlignment="1">
      <alignment vertical="top"/>
    </xf>
    <xf numFmtId="0" fontId="0" fillId="5" borderId="22" xfId="0" applyFont="1" applyFill="1" applyBorder="1" applyAlignment="1">
      <alignment vertical="top"/>
    </xf>
    <xf numFmtId="0" fontId="0" fillId="5" borderId="22" xfId="0" applyFont="1" applyFill="1" applyBorder="1" applyAlignment="1">
      <alignment vertical="center"/>
    </xf>
    <xf numFmtId="0" fontId="0" fillId="5" borderId="23" xfId="0" applyFont="1" applyFill="1" applyBorder="1" applyAlignment="1">
      <alignment vertical="center"/>
    </xf>
    <xf numFmtId="0" fontId="0" fillId="5" borderId="12" xfId="0" applyFont="1" applyFill="1" applyBorder="1" applyAlignment="1">
      <alignment vertical="top"/>
    </xf>
    <xf numFmtId="0" fontId="0" fillId="5" borderId="13" xfId="0" applyFont="1" applyFill="1" applyBorder="1" applyAlignment="1">
      <alignment vertical="center"/>
    </xf>
    <xf numFmtId="0" fontId="0" fillId="5" borderId="13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0" fillId="5" borderId="9" xfId="0" applyFont="1" applyFill="1" applyBorder="1" applyAlignment="1">
      <alignment vertical="top"/>
    </xf>
    <xf numFmtId="0" fontId="0" fillId="5" borderId="9" xfId="0" applyFont="1" applyFill="1" applyBorder="1" applyAlignment="1">
      <alignment vertical="center"/>
    </xf>
    <xf numFmtId="0" fontId="0" fillId="5" borderId="10" xfId="0" applyFont="1" applyFill="1" applyBorder="1" applyAlignment="1">
      <alignment vertical="center"/>
    </xf>
    <xf numFmtId="0" fontId="0" fillId="5" borderId="56" xfId="0" applyFont="1" applyFill="1" applyBorder="1" applyAlignment="1">
      <alignment vertical="top"/>
    </xf>
    <xf numFmtId="0" fontId="0" fillId="5" borderId="55" xfId="0" applyFont="1" applyFill="1" applyBorder="1" applyAlignment="1">
      <alignment vertical="top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top"/>
    </xf>
    <xf numFmtId="0" fontId="0" fillId="5" borderId="57" xfId="0" applyFont="1" applyFill="1" applyBorder="1" applyAlignment="1">
      <alignment vertical="top"/>
    </xf>
    <xf numFmtId="0" fontId="0" fillId="0" borderId="15" xfId="0" applyFont="1" applyFill="1" applyBorder="1"/>
    <xf numFmtId="0" fontId="5" fillId="0" borderId="0" xfId="312" applyFont="1"/>
    <xf numFmtId="0" fontId="107" fillId="4" borderId="5" xfId="0" applyFont="1" applyFill="1" applyBorder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0" fillId="0" borderId="56" xfId="0" applyFill="1" applyBorder="1"/>
    <xf numFmtId="0" fontId="107" fillId="0" borderId="1" xfId="0" applyFont="1" applyFill="1" applyBorder="1"/>
    <xf numFmtId="0" fontId="117" fillId="5" borderId="56" xfId="0" applyFont="1" applyFill="1" applyBorder="1" applyAlignment="1">
      <alignment vertical="center"/>
    </xf>
    <xf numFmtId="0" fontId="117" fillId="5" borderId="7" xfId="0" applyFont="1" applyFill="1" applyBorder="1" applyAlignment="1">
      <alignment horizontal="center" vertical="center"/>
    </xf>
    <xf numFmtId="0" fontId="117" fillId="5" borderId="57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horizontal="center" vertical="center"/>
    </xf>
    <xf numFmtId="0" fontId="107" fillId="0" borderId="24" xfId="0" applyFont="1" applyBorder="1" applyAlignment="1">
      <alignment vertical="center"/>
    </xf>
    <xf numFmtId="0" fontId="0" fillId="0" borderId="0" xfId="0" applyAlignment="1">
      <alignment vertical="top"/>
    </xf>
    <xf numFmtId="0" fontId="0" fillId="6" borderId="7" xfId="0" quotePrefix="1" applyFill="1" applyBorder="1" applyAlignment="1">
      <alignment horizontal="left" vertical="top"/>
    </xf>
    <xf numFmtId="0" fontId="107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07" fillId="6" borderId="2" xfId="0" applyFont="1" applyFill="1" applyBorder="1" applyAlignment="1">
      <alignment vertical="center"/>
    </xf>
    <xf numFmtId="0" fontId="107" fillId="6" borderId="3" xfId="0" applyFont="1" applyFill="1" applyBorder="1" applyAlignment="1">
      <alignment vertical="center"/>
    </xf>
    <xf numFmtId="0" fontId="107" fillId="6" borderId="3" xfId="0" applyFont="1" applyFill="1" applyBorder="1" applyAlignment="1">
      <alignment horizontal="left" vertical="center"/>
    </xf>
    <xf numFmtId="0" fontId="107" fillId="6" borderId="56" xfId="0" applyFont="1" applyFill="1" applyBorder="1" applyAlignment="1">
      <alignment horizontal="left" vertical="center"/>
    </xf>
    <xf numFmtId="0" fontId="110" fillId="6" borderId="1" xfId="0" applyFont="1" applyFill="1" applyBorder="1" applyAlignment="1">
      <alignment horizontal="left" vertical="center"/>
    </xf>
    <xf numFmtId="0" fontId="107" fillId="4" borderId="56" xfId="0" applyFont="1" applyFill="1" applyBorder="1" applyAlignment="1">
      <alignment horizontal="left" vertical="center"/>
    </xf>
    <xf numFmtId="0" fontId="107" fillId="4" borderId="1" xfId="0" applyFont="1" applyFill="1" applyBorder="1" applyAlignment="1">
      <alignment horizontal="left" vertical="center"/>
    </xf>
    <xf numFmtId="0" fontId="117" fillId="3" borderId="64" xfId="0" applyFont="1" applyFill="1" applyBorder="1"/>
    <xf numFmtId="0" fontId="117" fillId="3" borderId="43" xfId="0" applyFont="1" applyFill="1" applyBorder="1"/>
    <xf numFmtId="0" fontId="117" fillId="3" borderId="45" xfId="0" applyFont="1" applyFill="1" applyBorder="1"/>
    <xf numFmtId="0" fontId="107" fillId="0" borderId="20" xfId="0" applyFont="1" applyBorder="1"/>
    <xf numFmtId="0" fontId="107" fillId="0" borderId="18" xfId="0" applyFont="1" applyBorder="1"/>
    <xf numFmtId="0" fontId="107" fillId="0" borderId="19" xfId="0" applyFont="1" applyBorder="1"/>
    <xf numFmtId="0" fontId="117" fillId="3" borderId="2" xfId="0" applyFont="1" applyFill="1" applyBorder="1"/>
    <xf numFmtId="0" fontId="117" fillId="3" borderId="3" xfId="0" applyFont="1" applyFill="1" applyBorder="1"/>
    <xf numFmtId="0" fontId="117" fillId="3" borderId="4" xfId="0" applyFont="1" applyFill="1" applyBorder="1"/>
    <xf numFmtId="0" fontId="107" fillId="0" borderId="8" xfId="0" applyFont="1" applyBorder="1"/>
    <xf numFmtId="0" fontId="107" fillId="0" borderId="9" xfId="0" applyFont="1" applyBorder="1"/>
    <xf numFmtId="0" fontId="107" fillId="0" borderId="10" xfId="0" applyFont="1" applyBorder="1"/>
    <xf numFmtId="0" fontId="117" fillId="3" borderId="5" xfId="0" applyFont="1" applyFill="1" applyBorder="1"/>
    <xf numFmtId="0" fontId="117" fillId="3" borderId="0" xfId="0" applyFont="1" applyFill="1"/>
    <xf numFmtId="0" fontId="107" fillId="0" borderId="24" xfId="0" applyFont="1" applyBorder="1"/>
    <xf numFmtId="0" fontId="107" fillId="0" borderId="22" xfId="0" applyFont="1" applyBorder="1"/>
    <xf numFmtId="0" fontId="107" fillId="0" borderId="23" xfId="0" applyFont="1" applyBorder="1"/>
    <xf numFmtId="0" fontId="107" fillId="0" borderId="68" xfId="0" applyFont="1" applyBorder="1"/>
    <xf numFmtId="0" fontId="107" fillId="0" borderId="69" xfId="0" applyFont="1" applyBorder="1"/>
    <xf numFmtId="0" fontId="107" fillId="0" borderId="68" xfId="0" quotePrefix="1" applyFont="1" applyBorder="1"/>
    <xf numFmtId="0" fontId="107" fillId="0" borderId="17" xfId="0" applyFont="1" applyBorder="1"/>
    <xf numFmtId="0" fontId="107" fillId="0" borderId="70" xfId="0" applyFont="1" applyBorder="1"/>
    <xf numFmtId="0" fontId="107" fillId="0" borderId="21" xfId="0" applyFont="1" applyBorder="1"/>
    <xf numFmtId="0" fontId="107" fillId="0" borderId="71" xfId="0" applyFont="1" applyBorder="1"/>
    <xf numFmtId="0" fontId="107" fillId="0" borderId="72" xfId="0" quotePrefix="1" applyFont="1" applyBorder="1"/>
    <xf numFmtId="0" fontId="117" fillId="3" borderId="6" xfId="0" applyFont="1" applyFill="1" applyBorder="1"/>
    <xf numFmtId="0" fontId="107" fillId="0" borderId="15" xfId="0" applyFont="1" applyBorder="1"/>
    <xf numFmtId="0" fontId="107" fillId="0" borderId="59" xfId="0" applyFont="1" applyBorder="1"/>
    <xf numFmtId="0" fontId="107" fillId="0" borderId="73" xfId="0" applyFont="1" applyBorder="1"/>
    <xf numFmtId="0" fontId="107" fillId="0" borderId="22" xfId="0" applyFont="1" applyBorder="1" applyAlignment="1">
      <alignment horizontal="left" vertical="center"/>
    </xf>
    <xf numFmtId="0" fontId="107" fillId="0" borderId="64" xfId="0" applyFont="1" applyBorder="1"/>
    <xf numFmtId="0" fontId="107" fillId="0" borderId="43" xfId="0" applyFont="1" applyBorder="1"/>
    <xf numFmtId="0" fontId="107" fillId="0" borderId="74" xfId="0" applyFont="1" applyBorder="1"/>
    <xf numFmtId="0" fontId="107" fillId="0" borderId="75" xfId="0" applyFont="1" applyBorder="1"/>
    <xf numFmtId="0" fontId="107" fillId="4" borderId="21" xfId="0" applyFont="1" applyFill="1" applyBorder="1"/>
    <xf numFmtId="0" fontId="107" fillId="0" borderId="45" xfId="0" applyFont="1" applyBorder="1"/>
    <xf numFmtId="0" fontId="107" fillId="0" borderId="21" xfId="0" quotePrefix="1" applyFont="1" applyBorder="1"/>
    <xf numFmtId="0" fontId="90" fillId="3" borderId="43" xfId="0" applyFont="1" applyFill="1" applyBorder="1"/>
    <xf numFmtId="0" fontId="90" fillId="3" borderId="0" xfId="0" applyFont="1" applyFill="1"/>
    <xf numFmtId="0" fontId="90" fillId="3" borderId="3" xfId="0" applyFont="1" applyFill="1" applyBorder="1"/>
    <xf numFmtId="0" fontId="0" fillId="0" borderId="0" xfId="0" quotePrefix="1"/>
    <xf numFmtId="0" fontId="107" fillId="0" borderId="56" xfId="0" applyFont="1" applyFill="1" applyBorder="1" applyAlignment="1">
      <alignment vertical="center"/>
    </xf>
    <xf numFmtId="0" fontId="107" fillId="0" borderId="3" xfId="0" applyFont="1" applyFill="1" applyBorder="1" applyAlignment="1">
      <alignment vertical="center"/>
    </xf>
    <xf numFmtId="0" fontId="107" fillId="0" borderId="3" xfId="0" applyFont="1" applyFill="1" applyBorder="1" applyAlignment="1">
      <alignment horizontal="left" vertical="center"/>
    </xf>
    <xf numFmtId="0" fontId="117" fillId="3" borderId="0" xfId="0" applyFont="1" applyFill="1" applyBorder="1"/>
    <xf numFmtId="0" fontId="107" fillId="0" borderId="56" xfId="0" applyFont="1" applyFill="1" applyBorder="1"/>
    <xf numFmtId="0" fontId="107" fillId="0" borderId="2" xfId="0" applyFont="1" applyFill="1" applyBorder="1" applyAlignment="1">
      <alignment vertical="center"/>
    </xf>
    <xf numFmtId="0" fontId="100" fillId="0" borderId="0" xfId="280" applyFont="1" applyAlignment="1" applyProtection="1">
      <alignment horizontal="center" vertical="center"/>
      <protection locked="0"/>
    </xf>
    <xf numFmtId="49" fontId="95" fillId="0" borderId="0" xfId="280" applyNumberFormat="1" applyFont="1" applyAlignment="1" applyProtection="1">
      <alignment horizontal="left" vertical="center"/>
      <protection locked="0"/>
    </xf>
    <xf numFmtId="0" fontId="98" fillId="0" borderId="44" xfId="280" applyFont="1" applyBorder="1" applyAlignment="1">
      <alignment horizontal="center" vertical="center" shrinkToFit="1"/>
    </xf>
    <xf numFmtId="0" fontId="98" fillId="0" borderId="43" xfId="280" applyFont="1" applyBorder="1" applyAlignment="1">
      <alignment horizontal="center" vertical="center" shrinkToFit="1"/>
    </xf>
    <xf numFmtId="0" fontId="98" fillId="0" borderId="45" xfId="280" applyFont="1" applyBorder="1" applyAlignment="1">
      <alignment horizontal="center" vertical="center" shrinkToFit="1"/>
    </xf>
    <xf numFmtId="0" fontId="98" fillId="0" borderId="5" xfId="280" applyFont="1" applyBorder="1" applyAlignment="1">
      <alignment horizontal="center" vertical="center" shrinkToFit="1"/>
    </xf>
    <xf numFmtId="0" fontId="98" fillId="0" borderId="0" xfId="280" applyFont="1" applyAlignment="1">
      <alignment horizontal="center" vertical="center" shrinkToFit="1"/>
    </xf>
    <xf numFmtId="0" fontId="98" fillId="0" borderId="6" xfId="280" applyFont="1" applyBorder="1" applyAlignment="1">
      <alignment horizontal="center" vertical="center" shrinkToFit="1"/>
    </xf>
    <xf numFmtId="0" fontId="99" fillId="0" borderId="5" xfId="280" applyFont="1" applyBorder="1" applyAlignment="1">
      <alignment horizontal="center" vertical="center"/>
    </xf>
    <xf numFmtId="0" fontId="99" fillId="0" borderId="0" xfId="280" applyFont="1" applyAlignment="1">
      <alignment horizontal="center" vertical="center"/>
    </xf>
    <xf numFmtId="0" fontId="99" fillId="0" borderId="6" xfId="280" applyFont="1" applyBorder="1" applyAlignment="1">
      <alignment horizontal="center" vertical="center"/>
    </xf>
    <xf numFmtId="0" fontId="99" fillId="0" borderId="2" xfId="280" applyFont="1" applyBorder="1" applyAlignment="1">
      <alignment horizontal="center" vertical="center"/>
    </xf>
    <xf numFmtId="0" fontId="99" fillId="0" borderId="3" xfId="280" applyFont="1" applyBorder="1" applyAlignment="1">
      <alignment horizontal="center" vertical="center"/>
    </xf>
    <xf numFmtId="0" fontId="99" fillId="0" borderId="4" xfId="280" applyFont="1" applyBorder="1" applyAlignment="1">
      <alignment horizontal="center" vertical="center"/>
    </xf>
    <xf numFmtId="0" fontId="100" fillId="0" borderId="0" xfId="280" applyFont="1" applyAlignment="1" applyProtection="1">
      <alignment horizontal="right" vertical="center"/>
      <protection locked="0"/>
    </xf>
    <xf numFmtId="180" fontId="100" fillId="0" borderId="0" xfId="280" applyNumberFormat="1" applyFont="1" applyAlignment="1" applyProtection="1">
      <alignment horizontal="left" vertical="center"/>
      <protection locked="0"/>
    </xf>
    <xf numFmtId="180" fontId="104" fillId="52" borderId="56" xfId="309" applyNumberFormat="1" applyFont="1" applyFill="1" applyBorder="1" applyAlignment="1">
      <alignment horizontal="left" vertical="center"/>
    </xf>
    <xf numFmtId="180" fontId="104" fillId="52" borderId="57" xfId="309" applyNumberFormat="1" applyFont="1" applyFill="1" applyBorder="1" applyAlignment="1">
      <alignment horizontal="left" vertical="center"/>
    </xf>
    <xf numFmtId="0" fontId="102" fillId="0" borderId="56" xfId="309" applyFont="1" applyBorder="1" applyAlignment="1">
      <alignment horizontal="left" vertical="center"/>
    </xf>
    <xf numFmtId="0" fontId="102" fillId="0" borderId="1" xfId="309" applyFont="1" applyBorder="1" applyAlignment="1">
      <alignment horizontal="left" vertical="center"/>
    </xf>
    <xf numFmtId="0" fontId="102" fillId="0" borderId="57" xfId="309" applyFont="1" applyBorder="1" applyAlignment="1">
      <alignment horizontal="left" vertical="center"/>
    </xf>
    <xf numFmtId="0" fontId="104" fillId="52" borderId="56" xfId="309" applyFont="1" applyFill="1" applyBorder="1" applyAlignment="1">
      <alignment horizontal="left" vertical="center"/>
    </xf>
    <xf numFmtId="0" fontId="104" fillId="52" borderId="57" xfId="309" applyFont="1" applyFill="1" applyBorder="1" applyAlignment="1">
      <alignment horizontal="left" vertical="center"/>
    </xf>
    <xf numFmtId="180" fontId="102" fillId="0" borderId="56" xfId="309" applyNumberFormat="1" applyFont="1" applyBorder="1" applyAlignment="1">
      <alignment horizontal="left" vertical="center" wrapText="1"/>
    </xf>
    <xf numFmtId="180" fontId="102" fillId="0" borderId="57" xfId="309" applyNumberFormat="1" applyFont="1" applyBorder="1" applyAlignment="1">
      <alignment horizontal="left" vertical="center" wrapText="1"/>
    </xf>
    <xf numFmtId="0" fontId="102" fillId="0" borderId="56" xfId="309" applyFont="1" applyFill="1" applyBorder="1" applyAlignment="1">
      <alignment horizontal="left" vertical="center" shrinkToFit="1"/>
    </xf>
    <xf numFmtId="0" fontId="102" fillId="0" borderId="1" xfId="309" applyFont="1" applyFill="1" applyBorder="1" applyAlignment="1">
      <alignment horizontal="left" vertical="center" shrinkToFit="1"/>
    </xf>
    <xf numFmtId="0" fontId="102" fillId="0" borderId="57" xfId="309" applyFont="1" applyFill="1" applyBorder="1" applyAlignment="1">
      <alignment horizontal="left" vertical="center" shrinkToFit="1"/>
    </xf>
    <xf numFmtId="180" fontId="102" fillId="0" borderId="56" xfId="309" applyNumberFormat="1" applyFont="1" applyFill="1" applyBorder="1" applyAlignment="1">
      <alignment horizontal="left" vertical="center" wrapText="1"/>
    </xf>
    <xf numFmtId="180" fontId="102" fillId="0" borderId="57" xfId="309" applyNumberFormat="1" applyFont="1" applyFill="1" applyBorder="1" applyAlignment="1">
      <alignment horizontal="left" vertical="center" wrapText="1"/>
    </xf>
    <xf numFmtId="0" fontId="104" fillId="52" borderId="7" xfId="310" applyFont="1" applyFill="1" applyBorder="1" applyAlignment="1">
      <alignment horizontal="center" vertical="center"/>
    </xf>
    <xf numFmtId="0" fontId="102" fillId="0" borderId="56" xfId="309" applyFont="1" applyFill="1" applyBorder="1" applyAlignment="1">
      <alignment horizontal="left" vertical="center"/>
    </xf>
    <xf numFmtId="0" fontId="102" fillId="0" borderId="1" xfId="309" applyFont="1" applyFill="1" applyBorder="1" applyAlignment="1">
      <alignment horizontal="left" vertical="center"/>
    </xf>
    <xf numFmtId="0" fontId="102" fillId="0" borderId="57" xfId="309" applyFont="1" applyFill="1" applyBorder="1" applyAlignment="1">
      <alignment horizontal="left" vertical="center"/>
    </xf>
    <xf numFmtId="180" fontId="104" fillId="52" borderId="7" xfId="310" applyNumberFormat="1" applyFont="1" applyFill="1" applyBorder="1" applyAlignment="1">
      <alignment horizontal="center" vertical="center"/>
    </xf>
    <xf numFmtId="180" fontId="104" fillId="52" borderId="7" xfId="309" applyNumberFormat="1" applyFont="1" applyFill="1" applyBorder="1" applyAlignment="1">
      <alignment horizontal="center" vertical="center"/>
    </xf>
    <xf numFmtId="0" fontId="102" fillId="4" borderId="7" xfId="310" applyFont="1" applyFill="1" applyBorder="1" applyAlignment="1">
      <alignment horizontal="left" vertical="center"/>
    </xf>
    <xf numFmtId="14" fontId="102" fillId="0" borderId="7" xfId="310" applyNumberFormat="1" applyFont="1" applyBorder="1" applyAlignment="1">
      <alignment horizontal="center" vertical="center"/>
    </xf>
    <xf numFmtId="181" fontId="102" fillId="4" borderId="7" xfId="310" applyNumberFormat="1" applyFont="1" applyFill="1" applyBorder="1" applyAlignment="1">
      <alignment horizontal="center" vertical="center"/>
    </xf>
    <xf numFmtId="14" fontId="102" fillId="0" borderId="56" xfId="310" applyNumberFormat="1" applyFont="1" applyBorder="1" applyAlignment="1">
      <alignment horizontal="center" vertical="center"/>
    </xf>
    <xf numFmtId="14" fontId="102" fillId="0" borderId="57" xfId="310" applyNumberFormat="1" applyFont="1" applyBorder="1" applyAlignment="1">
      <alignment horizontal="center" vertical="center"/>
    </xf>
    <xf numFmtId="0" fontId="102" fillId="4" borderId="56" xfId="310" applyFont="1" applyFill="1" applyBorder="1" applyAlignment="1">
      <alignment horizontal="left" vertical="center"/>
    </xf>
    <xf numFmtId="0" fontId="102" fillId="4" borderId="1" xfId="310" applyFont="1" applyFill="1" applyBorder="1" applyAlignment="1">
      <alignment horizontal="left" vertical="center"/>
    </xf>
    <xf numFmtId="0" fontId="102" fillId="4" borderId="57" xfId="310" applyFont="1" applyFill="1" applyBorder="1" applyAlignment="1">
      <alignment horizontal="left" vertical="center"/>
    </xf>
    <xf numFmtId="0" fontId="102" fillId="4" borderId="56" xfId="310" applyFont="1" applyFill="1" applyBorder="1" applyAlignment="1">
      <alignment horizontal="left" vertical="center" wrapText="1"/>
    </xf>
    <xf numFmtId="0" fontId="102" fillId="4" borderId="7" xfId="310" applyFont="1" applyFill="1" applyBorder="1" applyAlignment="1">
      <alignment horizontal="left" vertical="center" wrapText="1"/>
    </xf>
    <xf numFmtId="0" fontId="0" fillId="2" borderId="44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0" fontId="0" fillId="2" borderId="4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17" fillId="5" borderId="56" xfId="0" applyFont="1" applyFill="1" applyBorder="1" applyAlignment="1">
      <alignment horizontal="center" vertical="center"/>
    </xf>
    <xf numFmtId="0" fontId="117" fillId="5" borderId="1" xfId="0" applyFont="1" applyFill="1" applyBorder="1" applyAlignment="1">
      <alignment horizontal="center" vertical="center"/>
    </xf>
    <xf numFmtId="0" fontId="117" fillId="5" borderId="57" xfId="0" applyFont="1" applyFill="1" applyBorder="1" applyAlignment="1">
      <alignment horizontal="center" vertical="center"/>
    </xf>
    <xf numFmtId="0" fontId="107" fillId="4" borderId="5" xfId="0" applyFont="1" applyFill="1" applyBorder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107" fillId="4" borderId="2" xfId="0" applyFont="1" applyFill="1" applyBorder="1" applyAlignment="1">
      <alignment horizontal="center" vertical="center"/>
    </xf>
    <xf numFmtId="0" fontId="107" fillId="4" borderId="3" xfId="0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14" fontId="0" fillId="0" borderId="56" xfId="0" applyNumberFormat="1" applyFont="1" applyBorder="1" applyAlignment="1">
      <alignment horizontal="left" vertical="center" shrinkToFit="1"/>
    </xf>
    <xf numFmtId="0" fontId="0" fillId="0" borderId="1" xfId="0" applyFont="1" applyBorder="1" applyAlignment="1">
      <alignment horizontal="left" vertical="center" shrinkToFit="1"/>
    </xf>
    <xf numFmtId="0" fontId="0" fillId="0" borderId="57" xfId="0" applyFont="1" applyBorder="1" applyAlignment="1">
      <alignment horizontal="left" vertical="center" shrinkToFit="1"/>
    </xf>
    <xf numFmtId="0" fontId="0" fillId="0" borderId="44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107" fillId="0" borderId="56" xfId="0" applyNumberFormat="1" applyFont="1" applyBorder="1" applyAlignment="1">
      <alignment horizontal="left" vertical="center" shrinkToFit="1"/>
    </xf>
    <xf numFmtId="0" fontId="107" fillId="0" borderId="1" xfId="0" applyFont="1" applyBorder="1" applyAlignment="1">
      <alignment horizontal="left" vertical="center" shrinkToFit="1"/>
    </xf>
    <xf numFmtId="0" fontId="107" fillId="0" borderId="57" xfId="0" applyFont="1" applyBorder="1" applyAlignment="1">
      <alignment horizontal="left" vertical="center" shrinkToFit="1"/>
    </xf>
    <xf numFmtId="0" fontId="107" fillId="0" borderId="64" xfId="0" applyFont="1" applyFill="1" applyBorder="1" applyAlignment="1">
      <alignment horizontal="left" vertical="top"/>
    </xf>
    <xf numFmtId="0" fontId="107" fillId="0" borderId="43" xfId="0" applyFont="1" applyFill="1" applyBorder="1" applyAlignment="1">
      <alignment horizontal="left" vertical="top"/>
    </xf>
    <xf numFmtId="0" fontId="107" fillId="0" borderId="45" xfId="0" applyFont="1" applyFill="1" applyBorder="1" applyAlignment="1">
      <alignment horizontal="left" vertical="top"/>
    </xf>
    <xf numFmtId="0" fontId="107" fillId="0" borderId="5" xfId="0" applyFont="1" applyFill="1" applyBorder="1" applyAlignment="1">
      <alignment horizontal="left" vertical="top"/>
    </xf>
    <xf numFmtId="0" fontId="107" fillId="0" borderId="0" xfId="0" applyFont="1" applyFill="1" applyBorder="1" applyAlignment="1">
      <alignment horizontal="left" vertical="top"/>
    </xf>
    <xf numFmtId="0" fontId="107" fillId="0" borderId="6" xfId="0" applyFont="1" applyFill="1" applyBorder="1" applyAlignment="1">
      <alignment horizontal="left" vertical="top"/>
    </xf>
    <xf numFmtId="0" fontId="107" fillId="0" borderId="2" xfId="0" applyFont="1" applyFill="1" applyBorder="1" applyAlignment="1">
      <alignment horizontal="left" vertical="top"/>
    </xf>
    <xf numFmtId="0" fontId="107" fillId="0" borderId="3" xfId="0" applyFont="1" applyFill="1" applyBorder="1" applyAlignment="1">
      <alignment horizontal="left" vertical="top"/>
    </xf>
    <xf numFmtId="0" fontId="107" fillId="0" borderId="4" xfId="0" applyFont="1" applyFill="1" applyBorder="1" applyAlignment="1">
      <alignment horizontal="left" vertical="top"/>
    </xf>
    <xf numFmtId="0" fontId="0" fillId="2" borderId="5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02" fillId="0" borderId="54" xfId="314" applyFont="1" applyBorder="1" applyAlignment="1">
      <alignment horizontal="center" vertical="center"/>
    </xf>
    <xf numFmtId="0" fontId="102" fillId="0" borderId="53" xfId="314" applyFont="1" applyBorder="1" applyAlignment="1">
      <alignment horizontal="center" vertical="center"/>
    </xf>
    <xf numFmtId="0" fontId="102" fillId="0" borderId="54" xfId="314" applyFont="1" applyBorder="1" applyAlignment="1">
      <alignment horizontal="left" vertical="center"/>
    </xf>
    <xf numFmtId="0" fontId="102" fillId="0" borderId="53" xfId="314" applyFont="1" applyBorder="1" applyAlignment="1">
      <alignment horizontal="left" vertical="center"/>
    </xf>
    <xf numFmtId="0" fontId="115" fillId="0" borderId="0" xfId="314" applyFont="1" applyAlignment="1">
      <alignment horizontal="left" vertical="center"/>
    </xf>
    <xf numFmtId="0" fontId="0" fillId="0" borderId="56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57" xfId="0" applyFill="1" applyBorder="1" applyAlignment="1">
      <alignment horizontal="left" vertical="center" wrapText="1"/>
    </xf>
    <xf numFmtId="0" fontId="0" fillId="0" borderId="56" xfId="0" applyFont="1" applyFill="1" applyBorder="1" applyAlignment="1">
      <alignment horizontal="left" vertical="center"/>
    </xf>
  </cellXfs>
  <cellStyles count="315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20% - 强调文字颜色 1" xfId="14" xr:uid="{00000000-0005-0000-0000-00000C000000}"/>
    <cellStyle name="20% - 强调文字颜色 2" xfId="15" xr:uid="{00000000-0005-0000-0000-00000D000000}"/>
    <cellStyle name="20% - 强调文字颜色 3" xfId="16" xr:uid="{00000000-0005-0000-0000-00000E000000}"/>
    <cellStyle name="20% - 强调文字颜色 4" xfId="17" xr:uid="{00000000-0005-0000-0000-00000F000000}"/>
    <cellStyle name="20% - 强调文字颜色 5" xfId="18" xr:uid="{00000000-0005-0000-0000-000010000000}"/>
    <cellStyle name="20% - 强调文字颜色 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40% - アクセント 1 2" xfId="26" xr:uid="{00000000-0005-0000-0000-000018000000}"/>
    <cellStyle name="40% - アクセント 2 2" xfId="27" xr:uid="{00000000-0005-0000-0000-000019000000}"/>
    <cellStyle name="40% - アクセント 3 2" xfId="28" xr:uid="{00000000-0005-0000-0000-00001A000000}"/>
    <cellStyle name="40% - アクセント 4 2" xfId="29" xr:uid="{00000000-0005-0000-0000-00001B000000}"/>
    <cellStyle name="40% - アクセント 5 2" xfId="30" xr:uid="{00000000-0005-0000-0000-00001C000000}"/>
    <cellStyle name="40% - アクセント 6 2" xfId="31" xr:uid="{00000000-0005-0000-0000-00001D000000}"/>
    <cellStyle name="40% - 强调文字颜色 1" xfId="32" xr:uid="{00000000-0005-0000-0000-00001E000000}"/>
    <cellStyle name="40% - 强调文字颜色 2" xfId="33" xr:uid="{00000000-0005-0000-0000-00001F000000}"/>
    <cellStyle name="40% - 强调文字颜色 3" xfId="34" xr:uid="{00000000-0005-0000-0000-000020000000}"/>
    <cellStyle name="40% - 强调文字颜色 4" xfId="35" xr:uid="{00000000-0005-0000-0000-000021000000}"/>
    <cellStyle name="40% - 强调文字颜色 5" xfId="36" xr:uid="{00000000-0005-0000-0000-000022000000}"/>
    <cellStyle name="40% - 强调文字颜色 6" xfId="37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アクセント 1 2" xfId="44" xr:uid="{00000000-0005-0000-0000-00002A000000}"/>
    <cellStyle name="60% - アクセント 2 2" xfId="45" xr:uid="{00000000-0005-0000-0000-00002B000000}"/>
    <cellStyle name="60% - アクセント 3 2" xfId="46" xr:uid="{00000000-0005-0000-0000-00002C000000}"/>
    <cellStyle name="60% - アクセント 4 2" xfId="47" xr:uid="{00000000-0005-0000-0000-00002D000000}"/>
    <cellStyle name="60% - アクセント 5 2" xfId="48" xr:uid="{00000000-0005-0000-0000-00002E000000}"/>
    <cellStyle name="60% - アクセント 6 2" xfId="49" xr:uid="{00000000-0005-0000-0000-00002F000000}"/>
    <cellStyle name="60% - 强调文字颜色 1" xfId="50" xr:uid="{00000000-0005-0000-0000-000030000000}"/>
    <cellStyle name="60% - 强调文字颜色 2" xfId="51" xr:uid="{00000000-0005-0000-0000-000031000000}"/>
    <cellStyle name="60% - 强调文字颜色 3" xfId="52" xr:uid="{00000000-0005-0000-0000-000032000000}"/>
    <cellStyle name="60% - 强调文字颜色 4" xfId="53" xr:uid="{00000000-0005-0000-0000-000033000000}"/>
    <cellStyle name="60% - 强调文字颜色 5" xfId="54" xr:uid="{00000000-0005-0000-0000-000034000000}"/>
    <cellStyle name="60% - 强调文字颜色 6" xfId="55" xr:uid="{00000000-0005-0000-0000-000035000000}"/>
    <cellStyle name="Accent1" xfId="56" xr:uid="{00000000-0005-0000-0000-000036000000}"/>
    <cellStyle name="Accent2" xfId="57" xr:uid="{00000000-0005-0000-0000-000037000000}"/>
    <cellStyle name="Accent3" xfId="58" xr:uid="{00000000-0005-0000-0000-000038000000}"/>
    <cellStyle name="Accent4" xfId="59" xr:uid="{00000000-0005-0000-0000-000039000000}"/>
    <cellStyle name="Accent5" xfId="60" xr:uid="{00000000-0005-0000-0000-00003A000000}"/>
    <cellStyle name="Accent6" xfId="61" xr:uid="{00000000-0005-0000-0000-00003B000000}"/>
    <cellStyle name="args.style" xfId="62" xr:uid="{00000000-0005-0000-0000-00003C000000}"/>
    <cellStyle name="Bad" xfId="63" xr:uid="{00000000-0005-0000-0000-00003D000000}"/>
    <cellStyle name="ＢＢＢ" xfId="64" xr:uid="{00000000-0005-0000-0000-00003E000000}"/>
    <cellStyle name="Calc Currency (0)" xfId="65" xr:uid="{00000000-0005-0000-0000-00003F000000}"/>
    <cellStyle name="Calculation" xfId="66" xr:uid="{00000000-0005-0000-0000-000040000000}"/>
    <cellStyle name="Check Cell" xfId="67" xr:uid="{00000000-0005-0000-0000-000041000000}"/>
    <cellStyle name="dak" xfId="68" xr:uid="{00000000-0005-0000-0000-000042000000}"/>
    <cellStyle name="Explanatory Text" xfId="69" xr:uid="{00000000-0005-0000-0000-000043000000}"/>
    <cellStyle name="Good" xfId="70" xr:uid="{00000000-0005-0000-0000-000044000000}"/>
    <cellStyle name="Grey" xfId="71" xr:uid="{00000000-0005-0000-0000-000045000000}"/>
    <cellStyle name="Header1" xfId="72" xr:uid="{00000000-0005-0000-0000-000046000000}"/>
    <cellStyle name="Header2" xfId="73" xr:uid="{00000000-0005-0000-0000-000047000000}"/>
    <cellStyle name="Heading 1" xfId="74" xr:uid="{00000000-0005-0000-0000-000048000000}"/>
    <cellStyle name="Heading 2" xfId="75" xr:uid="{00000000-0005-0000-0000-000049000000}"/>
    <cellStyle name="Heading 3" xfId="76" xr:uid="{00000000-0005-0000-0000-00004A000000}"/>
    <cellStyle name="Heading 4" xfId="77" xr:uid="{00000000-0005-0000-0000-00004B000000}"/>
    <cellStyle name="Hyperlink_【NewTMS】テーブル定義書" xfId="78" xr:uid="{00000000-0005-0000-0000-00004C000000}"/>
    <cellStyle name="IBM(401K)" xfId="79" xr:uid="{00000000-0005-0000-0000-00004D000000}"/>
    <cellStyle name="Input" xfId="80" xr:uid="{00000000-0005-0000-0000-00004E000000}"/>
    <cellStyle name="Input [yellow]" xfId="81" xr:uid="{00000000-0005-0000-0000-00004F000000}"/>
    <cellStyle name="J401K" xfId="82" xr:uid="{00000000-0005-0000-0000-000050000000}"/>
    <cellStyle name="jitta" xfId="83" xr:uid="{00000000-0005-0000-0000-000051000000}"/>
    <cellStyle name="Linked Cell" xfId="84" xr:uid="{00000000-0005-0000-0000-000052000000}"/>
    <cellStyle name="Neutral" xfId="85" xr:uid="{00000000-0005-0000-0000-000053000000}"/>
    <cellStyle name="new" xfId="86" xr:uid="{00000000-0005-0000-0000-000054000000}"/>
    <cellStyle name="Normal - Style1" xfId="87" xr:uid="{00000000-0005-0000-0000-000055000000}"/>
    <cellStyle name="Normal_#18-Internet" xfId="88" xr:uid="{00000000-0005-0000-0000-000056000000}"/>
    <cellStyle name="Note" xfId="89" xr:uid="{00000000-0005-0000-0000-000057000000}"/>
    <cellStyle name="Output" xfId="90" xr:uid="{00000000-0005-0000-0000-000058000000}"/>
    <cellStyle name="per.style" xfId="91" xr:uid="{00000000-0005-0000-0000-000059000000}"/>
    <cellStyle name="Percent [2]" xfId="92" xr:uid="{00000000-0005-0000-0000-00005A000000}"/>
    <cellStyle name="PSChar" xfId="93" xr:uid="{00000000-0005-0000-0000-00005B000000}"/>
    <cellStyle name="PSHeading" xfId="94" xr:uid="{00000000-0005-0000-0000-00005C000000}"/>
    <cellStyle name="QDF" xfId="95" xr:uid="{00000000-0005-0000-0000-00005D000000}"/>
    <cellStyle name="SAPBEXaggData" xfId="96" xr:uid="{00000000-0005-0000-0000-00005E000000}"/>
    <cellStyle name="SAPBEXaggDataEmph" xfId="97" xr:uid="{00000000-0005-0000-0000-00005F000000}"/>
    <cellStyle name="SAPBEXaggItem" xfId="98" xr:uid="{00000000-0005-0000-0000-000060000000}"/>
    <cellStyle name="SAPBEXaggItemX" xfId="99" xr:uid="{00000000-0005-0000-0000-000061000000}"/>
    <cellStyle name="SAPBEXchaText" xfId="100" xr:uid="{00000000-0005-0000-0000-000062000000}"/>
    <cellStyle name="SAPBEXexcBad" xfId="101" xr:uid="{00000000-0005-0000-0000-000063000000}"/>
    <cellStyle name="SAPBEXexcBad7" xfId="102" xr:uid="{00000000-0005-0000-0000-000064000000}"/>
    <cellStyle name="SAPBEXexcBad8" xfId="103" xr:uid="{00000000-0005-0000-0000-000065000000}"/>
    <cellStyle name="SAPBEXexcBad9" xfId="104" xr:uid="{00000000-0005-0000-0000-000066000000}"/>
    <cellStyle name="SAPBEXexcCritical" xfId="105" xr:uid="{00000000-0005-0000-0000-000067000000}"/>
    <cellStyle name="SAPBEXexcCritical4" xfId="106" xr:uid="{00000000-0005-0000-0000-000068000000}"/>
    <cellStyle name="SAPBEXexcCritical5" xfId="107" xr:uid="{00000000-0005-0000-0000-000069000000}"/>
    <cellStyle name="SAPBEXexcCritical6" xfId="108" xr:uid="{00000000-0005-0000-0000-00006A000000}"/>
    <cellStyle name="SAPBEXexcGood" xfId="109" xr:uid="{00000000-0005-0000-0000-00006B000000}"/>
    <cellStyle name="SAPBEXexcGood1" xfId="110" xr:uid="{00000000-0005-0000-0000-00006C000000}"/>
    <cellStyle name="SAPBEXexcGood2" xfId="111" xr:uid="{00000000-0005-0000-0000-00006D000000}"/>
    <cellStyle name="SAPBEXexcGood3" xfId="112" xr:uid="{00000000-0005-0000-0000-00006E000000}"/>
    <cellStyle name="SAPBEXexcVeryBad" xfId="113" xr:uid="{00000000-0005-0000-0000-00006F000000}"/>
    <cellStyle name="SAPBEXfilterDrill" xfId="114" xr:uid="{00000000-0005-0000-0000-000070000000}"/>
    <cellStyle name="SAPBEXfilterItem" xfId="115" xr:uid="{00000000-0005-0000-0000-000071000000}"/>
    <cellStyle name="SAPBEXfilterText" xfId="116" xr:uid="{00000000-0005-0000-0000-000072000000}"/>
    <cellStyle name="SAPBEXformats" xfId="117" xr:uid="{00000000-0005-0000-0000-000073000000}"/>
    <cellStyle name="SAPBEXheaderData" xfId="118" xr:uid="{00000000-0005-0000-0000-000074000000}"/>
    <cellStyle name="SAPBEXheaderItem" xfId="119" xr:uid="{00000000-0005-0000-0000-000075000000}"/>
    <cellStyle name="SAPBEXheaderText" xfId="120" xr:uid="{00000000-0005-0000-0000-000076000000}"/>
    <cellStyle name="SAPBEXHLevel0" xfId="121" xr:uid="{00000000-0005-0000-0000-000077000000}"/>
    <cellStyle name="SAPBEXHLevel0X" xfId="122" xr:uid="{00000000-0005-0000-0000-000078000000}"/>
    <cellStyle name="SAPBEXHLevel1" xfId="123" xr:uid="{00000000-0005-0000-0000-000079000000}"/>
    <cellStyle name="SAPBEXHLevel1X" xfId="124" xr:uid="{00000000-0005-0000-0000-00007A000000}"/>
    <cellStyle name="SAPBEXHLevel2" xfId="125" xr:uid="{00000000-0005-0000-0000-00007B000000}"/>
    <cellStyle name="SAPBEXHLevel2X" xfId="126" xr:uid="{00000000-0005-0000-0000-00007C000000}"/>
    <cellStyle name="SAPBEXHLevel3" xfId="127" xr:uid="{00000000-0005-0000-0000-00007D000000}"/>
    <cellStyle name="SAPBEXHLevel3X" xfId="128" xr:uid="{00000000-0005-0000-0000-00007E000000}"/>
    <cellStyle name="SAPBEXresData" xfId="129" xr:uid="{00000000-0005-0000-0000-00007F000000}"/>
    <cellStyle name="SAPBEXresDataEmph" xfId="130" xr:uid="{00000000-0005-0000-0000-000080000000}"/>
    <cellStyle name="SAPBEXresItem" xfId="131" xr:uid="{00000000-0005-0000-0000-000081000000}"/>
    <cellStyle name="SAPBEXresItemX" xfId="132" xr:uid="{00000000-0005-0000-0000-000082000000}"/>
    <cellStyle name="SAPBEXstdData" xfId="133" xr:uid="{00000000-0005-0000-0000-000083000000}"/>
    <cellStyle name="SAPBEXstdDataEmph" xfId="134" xr:uid="{00000000-0005-0000-0000-000084000000}"/>
    <cellStyle name="SAPBEXstdItem" xfId="135" xr:uid="{00000000-0005-0000-0000-000085000000}"/>
    <cellStyle name="SAPBEXstdItemX" xfId="136" xr:uid="{00000000-0005-0000-0000-000086000000}"/>
    <cellStyle name="SAPBEXsubData" xfId="137" xr:uid="{00000000-0005-0000-0000-000087000000}"/>
    <cellStyle name="SAPBEXsubDataEmph" xfId="138" xr:uid="{00000000-0005-0000-0000-000088000000}"/>
    <cellStyle name="SAPBEXsubItem" xfId="139" xr:uid="{00000000-0005-0000-0000-000089000000}"/>
    <cellStyle name="SAPBEXtitle" xfId="140" xr:uid="{00000000-0005-0000-0000-00008A000000}"/>
    <cellStyle name="SAPBEXundefined" xfId="141" xr:uid="{00000000-0005-0000-0000-00008B000000}"/>
    <cellStyle name="Title" xfId="142" xr:uid="{00000000-0005-0000-0000-00008C000000}"/>
    <cellStyle name="Total" xfId="143" xr:uid="{00000000-0005-0000-0000-00008D000000}"/>
    <cellStyle name="Warning Text" xfId="144" xr:uid="{00000000-0005-0000-0000-00008E000000}"/>
    <cellStyle name="アクセント 1 2" xfId="145" xr:uid="{00000000-0005-0000-0000-00008F000000}"/>
    <cellStyle name="アクセント 2 2" xfId="146" xr:uid="{00000000-0005-0000-0000-000090000000}"/>
    <cellStyle name="アクセント 3 2" xfId="147" xr:uid="{00000000-0005-0000-0000-000091000000}"/>
    <cellStyle name="アクセント 4 2" xfId="148" xr:uid="{00000000-0005-0000-0000-000092000000}"/>
    <cellStyle name="アクセント 5 2" xfId="149" xr:uid="{00000000-0005-0000-0000-000093000000}"/>
    <cellStyle name="アクセント 6 2" xfId="150" xr:uid="{00000000-0005-0000-0000-000094000000}"/>
    <cellStyle name="スタイル 1" xfId="151" xr:uid="{00000000-0005-0000-0000-000095000000}"/>
    <cellStyle name="タイトル 2" xfId="152" xr:uid="{00000000-0005-0000-0000-000096000000}"/>
    <cellStyle name="チェック セル 2" xfId="153" xr:uid="{00000000-0005-0000-0000-000097000000}"/>
    <cellStyle name="どちらでもない 2" xfId="154" xr:uid="{00000000-0005-0000-0000-000098000000}"/>
    <cellStyle name="メモ 2" xfId="155" xr:uid="{00000000-0005-0000-0000-000099000000}"/>
    <cellStyle name="リンク セル 2" xfId="156" xr:uid="{00000000-0005-0000-0000-00009A000000}"/>
    <cellStyle name="悪い 2" xfId="157" xr:uid="{00000000-0005-0000-0000-00009B000000}"/>
    <cellStyle name="解释性文本" xfId="158" xr:uid="{00000000-0005-0000-0000-00009C000000}"/>
    <cellStyle name="計算 2" xfId="159" xr:uid="{00000000-0005-0000-0000-00009D000000}"/>
    <cellStyle name="警告文 2" xfId="160" xr:uid="{00000000-0005-0000-0000-00009E000000}"/>
    <cellStyle name="警告文本" xfId="161" xr:uid="{00000000-0005-0000-0000-00009F000000}"/>
    <cellStyle name="見出し 1 2" xfId="162" xr:uid="{00000000-0005-0000-0000-0000A0000000}"/>
    <cellStyle name="見出し 2 2" xfId="163" xr:uid="{00000000-0005-0000-0000-0000A1000000}"/>
    <cellStyle name="見出し 3 2" xfId="164" xr:uid="{00000000-0005-0000-0000-0000A2000000}"/>
    <cellStyle name="見出し 4 2" xfId="165" xr:uid="{00000000-0005-0000-0000-0000A3000000}"/>
    <cellStyle name="好" xfId="166" xr:uid="{00000000-0005-0000-0000-0000A4000000}"/>
    <cellStyle name="好_【NewTMS】テーブル定義書_Excelマスタ_VerMikuni" xfId="167" xr:uid="{00000000-0005-0000-0000-0000A5000000}"/>
    <cellStyle name="好_【NewTMS】テーブル定義書_Excelマスタ_VerMikuni_SYNYR6000_詳細設計書_入庫ラベル発行" xfId="168" xr:uid="{00000000-0005-0000-0000-0000A6000000}"/>
    <cellStyle name="好_【NewTMS】テーブル定義書_Excelマスタ_VerMikuni_SYSYR2000_プログラム設計書_欠品リスト発行" xfId="169" xr:uid="{00000000-0005-0000-0000-0000A7000000}"/>
    <cellStyle name="好_【NewTMS】テーブル定義書_Excelマスタ_VerMikuni_SYSYR2000_プログラム設計書_欠品リスト発行_サンプル_SYNYS2000_機能設計書_入荷予定入力" xfId="170" xr:uid="{00000000-0005-0000-0000-0000A8000000}"/>
    <cellStyle name="好_【NewTMS】テーブル定義書_Excelマスタ_VerMikuni_サンプル_SYNYS2000_機能設計書_入荷予定入力" xfId="171" xr:uid="{00000000-0005-0000-0000-0000A9000000}"/>
    <cellStyle name="好_【NewTMS】テーブル定義書_Excelマスタ_VerMikuni_プログラム設計書_TM_TMSS0610(予定情報照会)" xfId="172" xr:uid="{00000000-0005-0000-0000-0000AA000000}"/>
    <cellStyle name="好_【NewTMS】テーブル定義書_Excelマスタ_VerMikuni_プログラム設計書_TM_TMSS0610(予定情報照会)_SYNYR6000_詳細設計書_入庫ラベル発行" xfId="173" xr:uid="{00000000-0005-0000-0000-0000AB000000}"/>
    <cellStyle name="好_【NewTMS】テーブル定義書_Excelマスタ_VerMikuni_プログラム設計書_TM_TMSS0610(予定情報照会)_SYSYR2000_プログラム設計書_欠品リスト発行" xfId="174" xr:uid="{00000000-0005-0000-0000-0000AC000000}"/>
    <cellStyle name="好_【NewTMS】テーブル定義書_Excelマスタ_VerMikuni_プログラム設計書_TM_TMSS0610(予定情報照会)_SYSYR2000_プログラム設計書_欠品リスト発行_サンプル_SYNYS2000_機能設計書_入荷予定入力" xfId="175" xr:uid="{00000000-0005-0000-0000-0000AD000000}"/>
    <cellStyle name="好_【NewTMS】テーブル定義書_Excelマスタ_VerMikuni_プログラム設計書_TM_TMSS0610(予定情報照会)_サンプル_SYNYS2000_機能設計書_入荷予定入力" xfId="176" xr:uid="{00000000-0005-0000-0000-0000AE000000}"/>
    <cellStyle name="好_【NewTMS】テーブル定義書_Excelマスタ_VerMikuni_詳細設計TMSS0610(予定情報照会)" xfId="177" xr:uid="{00000000-0005-0000-0000-0000AF000000}"/>
    <cellStyle name="好_【NewTMS】テーブル定義書_Excelマスタ_VerMikuni_詳細設計TMSS0610(予定情報照会)_SYNYR6000_詳細設計書_入庫ラベル発行" xfId="178" xr:uid="{00000000-0005-0000-0000-0000B0000000}"/>
    <cellStyle name="好_【NewTMS】テーブル定義書_Excelマスタ_VerMikuni_詳細設計TMSS0610(予定情報照会)_SYSYR2000_プログラム設計書_欠品リスト発行" xfId="179" xr:uid="{00000000-0005-0000-0000-0000B1000000}"/>
    <cellStyle name="好_【NewTMS】テーブル定義書_Excelマスタ_VerMikuni_詳細設計TMSS0610(予定情報照会)_SYSYR2000_プログラム設計書_欠品リスト発行_サンプル_SYNYS2000_機能設計書_入荷予定入力" xfId="180" xr:uid="{00000000-0005-0000-0000-0000B2000000}"/>
    <cellStyle name="好_【NewTMS】テーブル定義書_Excelマスタ_VerMikuni_詳細設計TMSS0610(予定情報照会)_サンプル_SYNYS2000_機能設計書_入荷予定入力" xfId="181" xr:uid="{00000000-0005-0000-0000-0000B3000000}"/>
    <cellStyle name="好_C票_預託対応_0003" xfId="182" xr:uid="{00000000-0005-0000-0000-0000B4000000}"/>
    <cellStyle name="好_C票_預託対応_0003_C-V73-H-0040_ロケーションマスタメンテナンス(編集)" xfId="183" xr:uid="{00000000-0005-0000-0000-0000B5000000}"/>
    <cellStyle name="好_EXCEL出力マスタ" xfId="184" xr:uid="{00000000-0005-0000-0000-0000B6000000}"/>
    <cellStyle name="好_EXCEL出力マスタ_SYNYR6000_詳細設計書_入庫ラベル発行" xfId="185" xr:uid="{00000000-0005-0000-0000-0000B7000000}"/>
    <cellStyle name="好_EXCEL出力マスタ_SYSYR2000_プログラム設計書_欠品リスト発行" xfId="186" xr:uid="{00000000-0005-0000-0000-0000B8000000}"/>
    <cellStyle name="好_EXCEL出力マスタ_SYSYR2000_プログラム設計書_欠品リスト発行_サンプル_SYNYS2000_機能設計書_入荷予定入力" xfId="187" xr:uid="{00000000-0005-0000-0000-0000B9000000}"/>
    <cellStyle name="好_EXCEL出力マスタ_サンプル_SYNYS2000_機能設計書_入荷予定入力" xfId="188" xr:uid="{00000000-0005-0000-0000-0000BA000000}"/>
    <cellStyle name="好_F_GET_STOCK_LOC_CD_推奨ロケーション取得_詳細設計" xfId="189" xr:uid="{00000000-0005-0000-0000-0000BB000000}"/>
    <cellStyle name="好_F_GET_STOCK_LOC_CD_推奨ロケーション取得_詳細設計_SYNYR6000_詳細設計書_入庫ラベル発行" xfId="190" xr:uid="{00000000-0005-0000-0000-0000BC000000}"/>
    <cellStyle name="好_F_GET_STOCK_LOC_CD_推奨ロケーション取得_詳細設計_サンプル_SYNYS2000_機能設計書_入荷予定入力" xfId="191" xr:uid="{00000000-0005-0000-0000-0000BD000000}"/>
    <cellStyle name="好_SYTNS4000_棚卸確定処理_詳細設計" xfId="192" xr:uid="{00000000-0005-0000-0000-0000BE000000}"/>
    <cellStyle name="好_SYTNS4000_棚卸確定処理_詳細設計_SYNYR6000_詳細設計書_入庫ラベル発行" xfId="193" xr:uid="{00000000-0005-0000-0000-0000BF000000}"/>
    <cellStyle name="好_SYTNS4000_棚卸確定処理_詳細設計_サンプル_SYNYS2000_機能設計書_入荷予定入力" xfId="194" xr:uid="{00000000-0005-0000-0000-0000C0000000}"/>
    <cellStyle name="好_コピープログラム設計書_TM_TMSS0210(輸送受付入力)_参照依田作業中" xfId="195" xr:uid="{00000000-0005-0000-0000-0000C1000000}"/>
    <cellStyle name="好_コピープログラム設計書_TM_TMSS0210(輸送受付入力)_参照依田作業中_SYNYR6000_詳細設計書_入庫ラベル発行" xfId="196" xr:uid="{00000000-0005-0000-0000-0000C2000000}"/>
    <cellStyle name="好_コピープログラム設計書_TM_TMSS0210(輸送受付入力)_参照依田作業中_SYSYR2000_プログラム設計書_欠品リスト発行" xfId="197" xr:uid="{00000000-0005-0000-0000-0000C3000000}"/>
    <cellStyle name="好_コピープログラム設計書_TM_TMSS0210(輸送受付入力)_参照依田作業中_SYSYR2000_プログラム設計書_欠品リスト発行_サンプル_SYNYS2000_機能設計書_入荷予定入力" xfId="198" xr:uid="{00000000-0005-0000-0000-0000C4000000}"/>
    <cellStyle name="好_コピープログラム設計書_TM_TMSS0210(輸送受付入力)_参照依田作業中_サンプル_SYNYS2000_機能設計書_入荷予定入力" xfId="199" xr:uid="{00000000-0005-0000-0000-0000C5000000}"/>
    <cellStyle name="好_プログラム仕様 VB.NET" xfId="200" xr:uid="{00000000-0005-0000-0000-0000C6000000}"/>
    <cellStyle name="好_プログラム仕様 VB.NET_1" xfId="201" xr:uid="{00000000-0005-0000-0000-0000C7000000}"/>
    <cellStyle name="好_プログラム設計書_TM_TMSS0210(輸送受付入力)" xfId="202" xr:uid="{00000000-0005-0000-0000-0000C8000000}"/>
    <cellStyle name="好_プログラム設計書_TM_TMSS0210(輸送受付入力)_SYNYR6000_詳細設計書_入庫ラベル発行" xfId="203" xr:uid="{00000000-0005-0000-0000-0000C9000000}"/>
    <cellStyle name="好_プログラム設計書_TM_TMSS0210(輸送受付入力)_SYSYR2000_プログラム設計書_欠品リスト発行" xfId="204" xr:uid="{00000000-0005-0000-0000-0000CA000000}"/>
    <cellStyle name="好_プログラム設計書_TM_TMSS0210(輸送受付入力)_SYSYR2000_プログラム設計書_欠品リスト発行_サンプル_SYNYS2000_機能設計書_入荷予定入力" xfId="205" xr:uid="{00000000-0005-0000-0000-0000CB000000}"/>
    <cellStyle name="好_プログラム設計書_TM_TMSS0210(輸送受付入力)_サンプル_SYNYS2000_機能設計書_入荷予定入力" xfId="206" xr:uid="{00000000-0005-0000-0000-0000CC000000}"/>
    <cellStyle name="好_プログラム設計書_TM_TMSS0610(予定情報照会)" xfId="207" xr:uid="{00000000-0005-0000-0000-0000CD000000}"/>
    <cellStyle name="好_プログラム設計書_TM_TMSS0610(予定情報照会)_SYNYR6000_詳細設計書_入庫ラベル発行" xfId="208" xr:uid="{00000000-0005-0000-0000-0000CE000000}"/>
    <cellStyle name="好_プログラム設計書_TM_TMSS0610(予定情報照会)_SYSYR2000_プログラム設計書_欠品リスト発行" xfId="209" xr:uid="{00000000-0005-0000-0000-0000CF000000}"/>
    <cellStyle name="好_プログラム設計書_TM_TMSS0610(予定情報照会)_SYSYR2000_プログラム設計書_欠品リスト発行_サンプル_SYNYS2000_機能設計書_入荷予定入力" xfId="210" xr:uid="{00000000-0005-0000-0000-0000D0000000}"/>
    <cellStyle name="好_プログラム設計書_TM_TMSS0610(予定情報照会)_サンプル_SYNYS2000_機能設計書_入荷予定入力" xfId="211" xr:uid="{00000000-0005-0000-0000-0000D1000000}"/>
    <cellStyle name="好_機能定義_入荷ヘッダ一覧_Ver1 .00_ITM" xfId="212" xr:uid="{00000000-0005-0000-0000-0000D2000000}"/>
    <cellStyle name="好_項目編集仕様" xfId="213" xr:uid="{00000000-0005-0000-0000-0000D3000000}"/>
    <cellStyle name="好_小松　EXCEL出力案" xfId="214" xr:uid="{00000000-0005-0000-0000-0000D4000000}"/>
    <cellStyle name="好_小松　EXCEL出力案_サンプル_SYNYS2000_機能設計書_入荷予定入力" xfId="215" xr:uid="{00000000-0005-0000-0000-0000D5000000}"/>
    <cellStyle name="好_詳細設計TMSS0610(予定情報照会)" xfId="216" xr:uid="{00000000-0005-0000-0000-0000D6000000}"/>
    <cellStyle name="好_詳細設計TMSS0610(予定情報照会)_サンプル_SYNYS2000_機能設計書_入荷予定入力" xfId="217" xr:uid="{00000000-0005-0000-0000-0000D7000000}"/>
    <cellStyle name="好み１" xfId="218" xr:uid="{00000000-0005-0000-0000-0000D8000000}"/>
    <cellStyle name="差" xfId="219" xr:uid="{00000000-0005-0000-0000-0000D9000000}"/>
    <cellStyle name="差_【NewTMS】テーブル定義書_Excelマスタ_VerMikuni" xfId="220" xr:uid="{00000000-0005-0000-0000-0000DA000000}"/>
    <cellStyle name="差_【NewTMS】テーブル定義書_Excelマスタ_VerMikuni_SYNYR6000_詳細設計書_入庫ラベル発行" xfId="221" xr:uid="{00000000-0005-0000-0000-0000DB000000}"/>
    <cellStyle name="差_【NewTMS】テーブル定義書_Excelマスタ_VerMikuni_SYSYR2000_プログラム設計書_欠品リスト発行" xfId="222" xr:uid="{00000000-0005-0000-0000-0000DC000000}"/>
    <cellStyle name="差_【NewTMS】テーブル定義書_Excelマスタ_VerMikuni_SYSYR2000_プログラム設計書_欠品リスト発行_サンプル_SYNYS2000_機能設計書_入荷予定入力" xfId="223" xr:uid="{00000000-0005-0000-0000-0000DD000000}"/>
    <cellStyle name="差_【NewTMS】テーブル定義書_Excelマスタ_VerMikuni_サンプル_SYNYS2000_機能設計書_入荷予定入力" xfId="224" xr:uid="{00000000-0005-0000-0000-0000DE000000}"/>
    <cellStyle name="差_【NewTMS】テーブル定義書_Excelマスタ_VerMikuni_プログラム設計書_TM_TMSS0610(予定情報照会)" xfId="225" xr:uid="{00000000-0005-0000-0000-0000DF000000}"/>
    <cellStyle name="差_【NewTMS】テーブル定義書_Excelマスタ_VerMikuni_プログラム設計書_TM_TMSS0610(予定情報照会)_SYNYR6000_詳細設計書_入庫ラベル発行" xfId="226" xr:uid="{00000000-0005-0000-0000-0000E0000000}"/>
    <cellStyle name="差_【NewTMS】テーブル定義書_Excelマスタ_VerMikuni_プログラム設計書_TM_TMSS0610(予定情報照会)_SYSYR2000_プログラム設計書_欠品リスト発行" xfId="227" xr:uid="{00000000-0005-0000-0000-0000E1000000}"/>
    <cellStyle name="差_【NewTMS】テーブル定義書_Excelマスタ_VerMikuni_プログラム設計書_TM_TMSS0610(予定情報照会)_SYSYR2000_プログラム設計書_欠品リスト発行_サンプル_SYNYS2000_機能設計書_入荷予定入力" xfId="228" xr:uid="{00000000-0005-0000-0000-0000E2000000}"/>
    <cellStyle name="差_【NewTMS】テーブル定義書_Excelマスタ_VerMikuni_プログラム設計書_TM_TMSS0610(予定情報照会)_サンプル_SYNYS2000_機能設計書_入荷予定入力" xfId="229" xr:uid="{00000000-0005-0000-0000-0000E3000000}"/>
    <cellStyle name="差_【NewTMS】テーブル定義書_Excelマスタ_VerMikuni_詳細設計TMSS0610(予定情報照会)" xfId="230" xr:uid="{00000000-0005-0000-0000-0000E4000000}"/>
    <cellStyle name="差_【NewTMS】テーブル定義書_Excelマスタ_VerMikuni_詳細設計TMSS0610(予定情報照会)_SYNYR6000_詳細設計書_入庫ラベル発行" xfId="231" xr:uid="{00000000-0005-0000-0000-0000E5000000}"/>
    <cellStyle name="差_【NewTMS】テーブル定義書_Excelマスタ_VerMikuni_詳細設計TMSS0610(予定情報照会)_SYSYR2000_プログラム設計書_欠品リスト発行" xfId="232" xr:uid="{00000000-0005-0000-0000-0000E6000000}"/>
    <cellStyle name="差_【NewTMS】テーブル定義書_Excelマスタ_VerMikuni_詳細設計TMSS0610(予定情報照会)_SYSYR2000_プログラム設計書_欠品リスト発行_サンプル_SYNYS2000_機能設計書_入荷予定入力" xfId="233" xr:uid="{00000000-0005-0000-0000-0000E7000000}"/>
    <cellStyle name="差_【NewTMS】テーブル定義書_Excelマスタ_VerMikuni_詳細設計TMSS0610(予定情報照会)_サンプル_SYNYS2000_機能設計書_入荷予定入力" xfId="234" xr:uid="{00000000-0005-0000-0000-0000E8000000}"/>
    <cellStyle name="差_C-V73-H-0040_ロケーションマスタメンテナンス(編集)" xfId="235" xr:uid="{00000000-0005-0000-0000-0000E9000000}"/>
    <cellStyle name="差_EXCEL出力マスタ" xfId="236" xr:uid="{00000000-0005-0000-0000-0000EA000000}"/>
    <cellStyle name="差_EXCEL出力マスタ_SYNYR6000_詳細設計書_入庫ラベル発行" xfId="237" xr:uid="{00000000-0005-0000-0000-0000EB000000}"/>
    <cellStyle name="差_EXCEL出力マスタ_SYSYR2000_プログラム設計書_欠品リスト発行" xfId="238" xr:uid="{00000000-0005-0000-0000-0000EC000000}"/>
    <cellStyle name="差_EXCEL出力マスタ_SYSYR2000_プログラム設計書_欠品リスト発行_サンプル_SYNYS2000_機能設計書_入荷予定入力" xfId="239" xr:uid="{00000000-0005-0000-0000-0000ED000000}"/>
    <cellStyle name="差_EXCEL出力マスタ_サンプル_SYNYS2000_機能設計書_入荷予定入力" xfId="240" xr:uid="{00000000-0005-0000-0000-0000EE000000}"/>
    <cellStyle name="差_F_GET_STOCK_LOC_CD_推奨ロケーション取得_詳細設計" xfId="241" xr:uid="{00000000-0005-0000-0000-0000EF000000}"/>
    <cellStyle name="差_F_GET_STOCK_LOC_CD_推奨ロケーション取得_詳細設計_SYNYR6000_詳細設計書_入庫ラベル発行" xfId="242" xr:uid="{00000000-0005-0000-0000-0000F0000000}"/>
    <cellStyle name="差_F_GET_STOCK_LOC_CD_推奨ロケーション取得_詳細設計_サンプル_SYNYS2000_機能設計書_入荷予定入力" xfId="243" xr:uid="{00000000-0005-0000-0000-0000F1000000}"/>
    <cellStyle name="差_SYTNS4000_棚卸確定処理_詳細設計" xfId="244" xr:uid="{00000000-0005-0000-0000-0000F2000000}"/>
    <cellStyle name="差_SYTNS4000_棚卸確定処理_詳細設計_SYNYR6000_詳細設計書_入庫ラベル発行" xfId="245" xr:uid="{00000000-0005-0000-0000-0000F3000000}"/>
    <cellStyle name="差_SYTNS4000_棚卸確定処理_詳細設計_サンプル_SYNYS2000_機能設計書_入荷予定入力" xfId="246" xr:uid="{00000000-0005-0000-0000-0000F4000000}"/>
    <cellStyle name="差_コピープログラム設計書_TM_TMSS0210(輸送受付入力)_参照依田作業中" xfId="247" xr:uid="{00000000-0005-0000-0000-0000F5000000}"/>
    <cellStyle name="差_コピープログラム設計書_TM_TMSS0210(輸送受付入力)_参照依田作業中_SYNYR6000_詳細設計書_入庫ラベル発行" xfId="248" xr:uid="{00000000-0005-0000-0000-0000F6000000}"/>
    <cellStyle name="差_コピープログラム設計書_TM_TMSS0210(輸送受付入力)_参照依田作業中_SYSYR2000_プログラム設計書_欠品リスト発行" xfId="249" xr:uid="{00000000-0005-0000-0000-0000F7000000}"/>
    <cellStyle name="差_コピープログラム設計書_TM_TMSS0210(輸送受付入力)_参照依田作業中_SYSYR2000_プログラム設計書_欠品リスト発行_サンプル_SYNYS2000_機能設計書_入荷予定入力" xfId="250" xr:uid="{00000000-0005-0000-0000-0000F8000000}"/>
    <cellStyle name="差_コピープログラム設計書_TM_TMSS0210(輸送受付入力)_参照依田作業中_サンプル_SYNYS2000_機能設計書_入荷予定入力" xfId="251" xr:uid="{00000000-0005-0000-0000-0000F9000000}"/>
    <cellStyle name="差_プログラム仕様 VB.NET" xfId="252" xr:uid="{00000000-0005-0000-0000-0000FA000000}"/>
    <cellStyle name="差_プログラム仕様 VB.NET_1" xfId="253" xr:uid="{00000000-0005-0000-0000-0000FB000000}"/>
    <cellStyle name="差_プログラム設計書_TM_TMSS0210(輸送受付入力)" xfId="254" xr:uid="{00000000-0005-0000-0000-0000FC000000}"/>
    <cellStyle name="差_プログラム設計書_TM_TMSS0210(輸送受付入力)_SYNYR6000_詳細設計書_入庫ラベル発行" xfId="255" xr:uid="{00000000-0005-0000-0000-0000FD000000}"/>
    <cellStyle name="差_プログラム設計書_TM_TMSS0210(輸送受付入力)_SYSYR2000_プログラム設計書_欠品リスト発行" xfId="256" xr:uid="{00000000-0005-0000-0000-0000FE000000}"/>
    <cellStyle name="差_プログラム設計書_TM_TMSS0210(輸送受付入力)_SYSYR2000_プログラム設計書_欠品リスト発行_サンプル_SYNYS2000_機能設計書_入荷予定入力" xfId="257" xr:uid="{00000000-0005-0000-0000-0000FF000000}"/>
    <cellStyle name="差_プログラム設計書_TM_TMSS0210(輸送受付入力)_サンプル_SYNYS2000_機能設計書_入荷予定入力" xfId="258" xr:uid="{00000000-0005-0000-0000-000000010000}"/>
    <cellStyle name="差_プログラム設計書_TM_TMSS0610(予定情報照会)" xfId="259" xr:uid="{00000000-0005-0000-0000-000001010000}"/>
    <cellStyle name="差_プログラム設計書_TM_TMSS0610(予定情報照会)_SYNYR6000_詳細設計書_入庫ラベル発行" xfId="260" xr:uid="{00000000-0005-0000-0000-000002010000}"/>
    <cellStyle name="差_プログラム設計書_TM_TMSS0610(予定情報照会)_SYSYR2000_プログラム設計書_欠品リスト発行" xfId="261" xr:uid="{00000000-0005-0000-0000-000003010000}"/>
    <cellStyle name="差_プログラム設計書_TM_TMSS0610(予定情報照会)_SYSYR2000_プログラム設計書_欠品リスト発行_サンプル_SYNYS2000_機能設計書_入荷予定入力" xfId="262" xr:uid="{00000000-0005-0000-0000-000004010000}"/>
    <cellStyle name="差_プログラム設計書_TM_TMSS0610(予定情報照会)_サンプル_SYNYS2000_機能設計書_入荷予定入力" xfId="263" xr:uid="{00000000-0005-0000-0000-000005010000}"/>
    <cellStyle name="差_機能定義_入荷ヘッダ一覧_Ver1 .00_ITM" xfId="264" xr:uid="{00000000-0005-0000-0000-000006010000}"/>
    <cellStyle name="差_項目編集仕様" xfId="265" xr:uid="{00000000-0005-0000-0000-000007010000}"/>
    <cellStyle name="差_小松　EXCEL出力案" xfId="266" xr:uid="{00000000-0005-0000-0000-000008010000}"/>
    <cellStyle name="差_小松　EXCEL出力案_サンプル_SYNYS2000_機能設計書_入荷予定入力" xfId="267" xr:uid="{00000000-0005-0000-0000-000009010000}"/>
    <cellStyle name="差_詳細設計TMSS0610(予定情報照会)" xfId="268" xr:uid="{00000000-0005-0000-0000-00000A010000}"/>
    <cellStyle name="差_詳細設計TMSS0610(予定情報照会)_サンプル_SYNYS2000_機能設計書_入荷予定入力" xfId="269" xr:uid="{00000000-0005-0000-0000-00000B010000}"/>
    <cellStyle name="集計 2" xfId="270" xr:uid="{00000000-0005-0000-0000-00000C010000}"/>
    <cellStyle name="出力 2" xfId="271" xr:uid="{00000000-0005-0000-0000-00000D010000}"/>
    <cellStyle name="常规 2" xfId="272" xr:uid="{00000000-0005-0000-0000-00000E010000}"/>
    <cellStyle name="説明文 2" xfId="273" xr:uid="{00000000-0005-0000-0000-00000F010000}"/>
    <cellStyle name="脱浦 [0.00]_?O±U" xfId="274" xr:uid="{00000000-0005-0000-0000-000010010000}"/>
    <cellStyle name="脱浦_?O±U" xfId="275" xr:uid="{00000000-0005-0000-0000-000011010000}"/>
    <cellStyle name="注释" xfId="276" xr:uid="{00000000-0005-0000-0000-000012010000}"/>
    <cellStyle name="超链接 2" xfId="277" xr:uid="{00000000-0005-0000-0000-000013010000}"/>
    <cellStyle name="入力 2" xfId="278" xr:uid="{00000000-0005-0000-0000-000014010000}"/>
    <cellStyle name="標準" xfId="0" builtinId="0"/>
    <cellStyle name="標準 10" xfId="279" xr:uid="{00000000-0005-0000-0000-000016010000}"/>
    <cellStyle name="標準 10 3" xfId="312" xr:uid="{A5C6C186-295D-4B82-ABCC-22EFABE5EEBE}"/>
    <cellStyle name="標準 2" xfId="1" xr:uid="{00000000-0005-0000-0000-000017010000}"/>
    <cellStyle name="標準 2 2" xfId="280" xr:uid="{00000000-0005-0000-0000-000018010000}"/>
    <cellStyle name="標準 2 2 2" xfId="281" xr:uid="{00000000-0005-0000-0000-000019010000}"/>
    <cellStyle name="標準 2 3" xfId="309" xr:uid="{7A1050DE-BAF2-4E53-943F-23683420637B}"/>
    <cellStyle name="標準 2 3 2" xfId="311" xr:uid="{873B56BF-5EC4-4B2C-84D5-E31AC669AA04}"/>
    <cellStyle name="標準 2_サンプル_SYNYS2000_機能設計書_入荷予定入力" xfId="282" xr:uid="{00000000-0005-0000-0000-00001A010000}"/>
    <cellStyle name="標準 3" xfId="283" xr:uid="{00000000-0005-0000-0000-00001B010000}"/>
    <cellStyle name="標準 3 2" xfId="284" xr:uid="{00000000-0005-0000-0000-00001C010000}"/>
    <cellStyle name="標準 4" xfId="285" xr:uid="{00000000-0005-0000-0000-00001D010000}"/>
    <cellStyle name="標準 5" xfId="286" xr:uid="{00000000-0005-0000-0000-00001E010000}"/>
    <cellStyle name="標準 6" xfId="287" xr:uid="{00000000-0005-0000-0000-00001F010000}"/>
    <cellStyle name="標準 7" xfId="308" xr:uid="{A458E2D1-D814-4512-B09A-B9A75CF14912}"/>
    <cellStyle name="標準 8" xfId="313" xr:uid="{E1F44399-5A48-48EC-ABFF-8F64F8F9B94B}"/>
    <cellStyle name="標準 9" xfId="314" xr:uid="{FBF85839-4F55-4636-8A5D-7991399D7B79}"/>
    <cellStyle name="標準_03-010国内原料" xfId="310" xr:uid="{A79BF337-4116-41EC-8A54-9F258D9E9765}"/>
    <cellStyle name="未定義" xfId="288" xr:uid="{00000000-0005-0000-0000-000020010000}"/>
    <cellStyle name="良い 2" xfId="289" xr:uid="{00000000-0005-0000-0000-000021010000}"/>
    <cellStyle name="强调文字颜色 1" xfId="290" xr:uid="{00000000-0005-0000-0000-000022010000}"/>
    <cellStyle name="强调文字颜色 2" xfId="291" xr:uid="{00000000-0005-0000-0000-000023010000}"/>
    <cellStyle name="强调文字颜色 3" xfId="292" xr:uid="{00000000-0005-0000-0000-000024010000}"/>
    <cellStyle name="强调文字颜色 4" xfId="293" xr:uid="{00000000-0005-0000-0000-000025010000}"/>
    <cellStyle name="强调文字颜色 5" xfId="294" xr:uid="{00000000-0005-0000-0000-000026010000}"/>
    <cellStyle name="强调文字颜色 6" xfId="295" xr:uid="{00000000-0005-0000-0000-000027010000}"/>
    <cellStyle name="标题" xfId="296" xr:uid="{00000000-0005-0000-0000-000028010000}"/>
    <cellStyle name="标题 1" xfId="297" xr:uid="{00000000-0005-0000-0000-000029010000}"/>
    <cellStyle name="标题 2" xfId="298" xr:uid="{00000000-0005-0000-0000-00002A010000}"/>
    <cellStyle name="标题 3" xfId="299" xr:uid="{00000000-0005-0000-0000-00002B010000}"/>
    <cellStyle name="标题 4" xfId="300" xr:uid="{00000000-0005-0000-0000-00002C010000}"/>
    <cellStyle name="检查单元格" xfId="301" xr:uid="{00000000-0005-0000-0000-00002D010000}"/>
    <cellStyle name="汇总" xfId="302" xr:uid="{00000000-0005-0000-0000-00002E010000}"/>
    <cellStyle name="计算" xfId="303" xr:uid="{00000000-0005-0000-0000-00002F010000}"/>
    <cellStyle name="输出" xfId="304" xr:uid="{00000000-0005-0000-0000-000030010000}"/>
    <cellStyle name="输入" xfId="305" xr:uid="{00000000-0005-0000-0000-000031010000}"/>
    <cellStyle name="适中" xfId="306" xr:uid="{00000000-0005-0000-0000-000032010000}"/>
    <cellStyle name="链接单元格" xfId="307" xr:uid="{00000000-0005-0000-0000-00003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31750</xdr:colOff>
      <xdr:row>28</xdr:row>
      <xdr:rowOff>63500</xdr:rowOff>
    </xdr:from>
    <xdr:to>
      <xdr:col>40</xdr:col>
      <xdr:colOff>15875</xdr:colOff>
      <xdr:row>36</xdr:row>
      <xdr:rowOff>79375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71BB11-EE5D-49D2-9067-332435833E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207" t="76200" r="38385" b="9671"/>
        <a:stretch/>
      </xdr:blipFill>
      <xdr:spPr>
        <a:xfrm>
          <a:off x="4232275" y="5159375"/>
          <a:ext cx="3784600" cy="1463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63</xdr:col>
          <xdr:colOff>84818</xdr:colOff>
          <xdr:row>25</xdr:row>
          <xdr:rowOff>63500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733E07B0-8FCC-6905-6F08-CD6AB5144C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SVイメージ!$A$1:$R$6" spid="_x0000_s47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2857" y="2984500"/>
              <a:ext cx="11148786" cy="12096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0</xdr:colOff>
      <xdr:row>30</xdr:row>
      <xdr:rowOff>0</xdr:rowOff>
    </xdr:from>
    <xdr:to>
      <xdr:col>20</xdr:col>
      <xdr:colOff>24775</xdr:colOff>
      <xdr:row>66</xdr:row>
      <xdr:rowOff>50760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7886417-0DD7-4588-90BC-C59971E5DC63}"/>
            </a:ext>
          </a:extLst>
        </xdr:cNvPr>
        <xdr:cNvGrpSpPr/>
      </xdr:nvGrpSpPr>
      <xdr:grpSpPr>
        <a:xfrm>
          <a:off x="530679" y="4966607"/>
          <a:ext cx="3035128" cy="5925871"/>
          <a:chOff x="612321" y="34371643"/>
          <a:chExt cx="3425200" cy="5880060"/>
        </a:xfrm>
      </xdr:grpSpPr>
      <xdr:sp macro="" textlink="">
        <xdr:nvSpPr>
          <xdr:cNvPr id="31" name="Rectangle 47">
            <a:extLst>
              <a:ext uri="{FF2B5EF4-FFF2-40B4-BE49-F238E27FC236}">
                <a16:creationId xmlns:a16="http://schemas.microsoft.com/office/drawing/2014/main" id="{AC75DF55-5F2E-F2D9-B64D-211EDBF66965}"/>
              </a:ext>
            </a:extLst>
          </xdr:cNvPr>
          <xdr:cNvSpPr>
            <a:spLocks noChangeArrowheads="1"/>
          </xdr:cNvSpPr>
        </xdr:nvSpPr>
        <xdr:spPr bwMode="auto">
          <a:xfrm>
            <a:off x="612321" y="34397017"/>
            <a:ext cx="3425200" cy="585468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2" name="Rectangle 48">
            <a:extLst>
              <a:ext uri="{FF2B5EF4-FFF2-40B4-BE49-F238E27FC236}">
                <a16:creationId xmlns:a16="http://schemas.microsoft.com/office/drawing/2014/main" id="{20BDB2A0-96B5-8CD6-EEFD-6D9ABF593EF6}"/>
              </a:ext>
            </a:extLst>
          </xdr:cNvPr>
          <xdr:cNvSpPr>
            <a:spLocks noChangeArrowheads="1"/>
          </xdr:cNvSpPr>
        </xdr:nvSpPr>
        <xdr:spPr bwMode="auto">
          <a:xfrm>
            <a:off x="666111" y="34371643"/>
            <a:ext cx="358141" cy="214744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18288" tIns="18288" rIns="0" bIns="0" anchor="t" upright="1">
            <a:no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33" name="AutoShape 429">
            <a:extLst>
              <a:ext uri="{FF2B5EF4-FFF2-40B4-BE49-F238E27FC236}">
                <a16:creationId xmlns:a16="http://schemas.microsoft.com/office/drawing/2014/main" id="{8D0D5E55-907F-E1EB-8FA6-688159425FA9}"/>
              </a:ext>
            </a:extLst>
          </xdr:cNvPr>
          <xdr:cNvSpPr>
            <a:spLocks noChangeArrowheads="1"/>
          </xdr:cNvSpPr>
        </xdr:nvSpPr>
        <xdr:spPr bwMode="auto">
          <a:xfrm>
            <a:off x="735656" y="34729730"/>
            <a:ext cx="1168184" cy="443939"/>
          </a:xfrm>
          <a:prstGeom prst="flowChartDisplay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</a:p>
        </xdr:txBody>
      </xdr:sp>
      <xdr:sp macro="" textlink="">
        <xdr:nvSpPr>
          <xdr:cNvPr id="34" name="Text Box 439">
            <a:extLst>
              <a:ext uri="{FF2B5EF4-FFF2-40B4-BE49-F238E27FC236}">
                <a16:creationId xmlns:a16="http://schemas.microsoft.com/office/drawing/2014/main" id="{CA580B10-A01A-540E-58AA-7A2B198C43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4717558"/>
            <a:ext cx="1755982" cy="52652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07D7EB2E-7648-B920-986E-4FDD34672393}"/>
              </a:ext>
            </a:extLst>
          </xdr:cNvPr>
          <xdr:cNvSpPr/>
        </xdr:nvSpPr>
        <xdr:spPr>
          <a:xfrm>
            <a:off x="735657" y="35490386"/>
            <a:ext cx="1168183" cy="687291"/>
          </a:xfrm>
          <a:prstGeom prst="rect">
            <a:avLst/>
          </a:prstGeom>
          <a:solidFill>
            <a:schemeClr val="bg1"/>
          </a:solidFill>
          <a:ln w="9525">
            <a:solidFill>
              <a:sysClr val="windowText" lastClr="00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6" name="Text Box 439">
            <a:extLst>
              <a:ext uri="{FF2B5EF4-FFF2-40B4-BE49-F238E27FC236}">
                <a16:creationId xmlns:a16="http://schemas.microsoft.com/office/drawing/2014/main" id="{0A694357-6429-C2E7-FA9B-776513A812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5586980"/>
            <a:ext cx="1685526" cy="65878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バッチプログラム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37" name="AutoShape 444">
            <a:extLst>
              <a:ext uri="{FF2B5EF4-FFF2-40B4-BE49-F238E27FC236}">
                <a16:creationId xmlns:a16="http://schemas.microsoft.com/office/drawing/2014/main" id="{8FCC2C9F-E5B8-314A-0B80-9F645470D816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6444230"/>
            <a:ext cx="1060666" cy="685137"/>
          </a:xfrm>
          <a:prstGeom prst="flowChartMagneticDisk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marL="0" indent="0" algn="ctr" rtl="0">
              <a:lnSpc>
                <a:spcPts val="10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  <xdr:sp macro="" textlink="">
        <xdr:nvSpPr>
          <xdr:cNvPr id="38" name="Text Box 439">
            <a:extLst>
              <a:ext uri="{FF2B5EF4-FFF2-40B4-BE49-F238E27FC236}">
                <a16:creationId xmlns:a16="http://schemas.microsoft.com/office/drawing/2014/main" id="{D654E7D5-3B34-7373-553D-CB0FB9D26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6412602"/>
            <a:ext cx="1800468" cy="71676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テーブルのテーブルは不要）</a:t>
            </a:r>
          </a:p>
        </xdr:txBody>
      </xdr:sp>
      <xdr:sp macro="" textlink="">
        <xdr:nvSpPr>
          <xdr:cNvPr id="39" name="AutoShape 290">
            <a:extLst>
              <a:ext uri="{FF2B5EF4-FFF2-40B4-BE49-F238E27FC236}">
                <a16:creationId xmlns:a16="http://schemas.microsoft.com/office/drawing/2014/main" id="{5D304757-EA06-4EB2-DFB7-3A87871E7B26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7367934"/>
            <a:ext cx="1060666" cy="619346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none" w="sm" len="sm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0" name="Text Box 439">
            <a:extLst>
              <a:ext uri="{FF2B5EF4-FFF2-40B4-BE49-F238E27FC236}">
                <a16:creationId xmlns:a16="http://schemas.microsoft.com/office/drawing/2014/main" id="{368C3B59-9D5D-C636-F751-5DFE4978A0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7367934"/>
            <a:ext cx="1808201" cy="75198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（該当機能で直接出力する場合）</a:t>
            </a:r>
          </a:p>
        </xdr:txBody>
      </xdr:sp>
      <xdr:sp macro="" textlink="">
        <xdr:nvSpPr>
          <xdr:cNvPr id="41" name="AutoShape 316">
            <a:extLst>
              <a:ext uri="{FF2B5EF4-FFF2-40B4-BE49-F238E27FC236}">
                <a16:creationId xmlns:a16="http://schemas.microsoft.com/office/drawing/2014/main" id="{04EBB4FE-4538-C975-9B5A-A1CC6B23467F}"/>
              </a:ext>
            </a:extLst>
          </xdr:cNvPr>
          <xdr:cNvSpPr>
            <a:spLocks noChangeArrowheads="1"/>
          </xdr:cNvSpPr>
        </xdr:nvSpPr>
        <xdr:spPr bwMode="auto">
          <a:xfrm>
            <a:off x="739254" y="38330180"/>
            <a:ext cx="1164587" cy="547142"/>
          </a:xfrm>
          <a:prstGeom prst="flowChartOnlineStorage">
            <a:avLst/>
          </a:prstGeom>
          <a:solidFill>
            <a:schemeClr val="bg1"/>
          </a:solidFill>
          <a:ln w="9525">
            <a:solidFill>
              <a:srgbClr val="000000"/>
            </a:solidFill>
            <a:prstDash val="solid"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2" name="Text Box 439">
            <a:extLst>
              <a:ext uri="{FF2B5EF4-FFF2-40B4-BE49-F238E27FC236}">
                <a16:creationId xmlns:a16="http://schemas.microsoft.com/office/drawing/2014/main" id="{FFC71FD1-FE84-B00D-98F3-F4D4D5CFBF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8396634"/>
            <a:ext cx="1438945" cy="5665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ファイル名を記入</a:t>
            </a:r>
          </a:p>
        </xdr:txBody>
      </xdr:sp>
      <xdr:cxnSp macro="">
        <xdr:nvCxnSpPr>
          <xdr:cNvPr id="43" name="直線矢印コネクタ 42">
            <a:extLst>
              <a:ext uri="{FF2B5EF4-FFF2-40B4-BE49-F238E27FC236}">
                <a16:creationId xmlns:a16="http://schemas.microsoft.com/office/drawing/2014/main" id="{D8477993-E7C7-6617-5BD0-141173AB3ACB}"/>
              </a:ext>
            </a:extLst>
          </xdr:cNvPr>
          <xdr:cNvCxnSpPr/>
        </xdr:nvCxnSpPr>
        <xdr:spPr>
          <a:xfrm>
            <a:off x="966502" y="39425334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Text Box 439">
            <a:extLst>
              <a:ext uri="{FF2B5EF4-FFF2-40B4-BE49-F238E27FC236}">
                <a16:creationId xmlns:a16="http://schemas.microsoft.com/office/drawing/2014/main" id="{63238051-7425-F96C-8904-9953F7F48C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9425334"/>
            <a:ext cx="1117072" cy="27809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データの流れ</a:t>
            </a:r>
          </a:p>
        </xdr:txBody>
      </xdr:sp>
      <xdr:cxnSp macro="">
        <xdr:nvCxnSpPr>
          <xdr:cNvPr id="45" name="直線矢印コネクタ 44">
            <a:extLst>
              <a:ext uri="{FF2B5EF4-FFF2-40B4-BE49-F238E27FC236}">
                <a16:creationId xmlns:a16="http://schemas.microsoft.com/office/drawing/2014/main" id="{BA76F667-FB24-B8AE-9B0D-3949295CB3D9}"/>
              </a:ext>
            </a:extLst>
          </xdr:cNvPr>
          <xdr:cNvCxnSpPr/>
        </xdr:nvCxnSpPr>
        <xdr:spPr>
          <a:xfrm>
            <a:off x="966502" y="39601127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192570</xdr:colOff>
      <xdr:row>80</xdr:row>
      <xdr:rowOff>154173</xdr:rowOff>
    </xdr:from>
    <xdr:to>
      <xdr:col>15</xdr:col>
      <xdr:colOff>84620</xdr:colOff>
      <xdr:row>85</xdr:row>
      <xdr:rowOff>8113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AAB0E910-C388-46D9-B12E-8550590455FA}"/>
            </a:ext>
          </a:extLst>
        </xdr:cNvPr>
        <xdr:cNvGrpSpPr/>
      </xdr:nvGrpSpPr>
      <xdr:grpSpPr>
        <a:xfrm>
          <a:off x="1775081" y="13285066"/>
          <a:ext cx="966107" cy="673543"/>
          <a:chOff x="571499" y="31381700"/>
          <a:chExt cx="981075" cy="720714"/>
        </a:xfrm>
      </xdr:grpSpPr>
      <xdr:sp macro="" textlink="">
        <xdr:nvSpPr>
          <xdr:cNvPr id="54" name="フローチャート: 磁気ディスク 53">
            <a:extLst>
              <a:ext uri="{FF2B5EF4-FFF2-40B4-BE49-F238E27FC236}">
                <a16:creationId xmlns:a16="http://schemas.microsoft.com/office/drawing/2014/main" id="{3ADBB64D-ABA0-FFA0-C8B6-9379A6398B0A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3DBABDC-A1A5-5FF1-8123-7F494581229C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帳票</a:t>
            </a:r>
            <a:br>
              <a:rPr kumimoji="1" lang="en-US" altLang="ja-JP" sz="1100">
                <a:solidFill>
                  <a:schemeClr val="tx1"/>
                </a:solidFill>
              </a:rPr>
            </a:br>
            <a:r>
              <a:rPr kumimoji="1" lang="ja-JP" altLang="en-US" sz="1100">
                <a:solidFill>
                  <a:schemeClr val="tx1"/>
                </a:solidFill>
              </a:rPr>
              <a:t>マスタ</a:t>
            </a:r>
          </a:p>
        </xdr:txBody>
      </xdr:sp>
    </xdr:grpSp>
    <xdr:clientData/>
  </xdr:twoCellAnchor>
  <xdr:twoCellAnchor>
    <xdr:from>
      <xdr:col>3</xdr:col>
      <xdr:colOff>24433</xdr:colOff>
      <xdr:row>83</xdr:row>
      <xdr:rowOff>46085</xdr:rowOff>
    </xdr:from>
    <xdr:to>
      <xdr:col>8</xdr:col>
      <xdr:colOff>116508</xdr:colOff>
      <xdr:row>87</xdr:row>
      <xdr:rowOff>66993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088FD0B6-8CB8-4CF0-BB94-10B99648DB96}"/>
            </a:ext>
          </a:extLst>
        </xdr:cNvPr>
        <xdr:cNvGrpSpPr/>
      </xdr:nvGrpSpPr>
      <xdr:grpSpPr>
        <a:xfrm>
          <a:off x="558287" y="13670010"/>
          <a:ext cx="973364" cy="667701"/>
          <a:chOff x="571499" y="31381700"/>
          <a:chExt cx="981075" cy="720714"/>
        </a:xfrm>
      </xdr:grpSpPr>
      <xdr:sp macro="" textlink="">
        <xdr:nvSpPr>
          <xdr:cNvPr id="57" name="フローチャート: 磁気ディスク 56">
            <a:extLst>
              <a:ext uri="{FF2B5EF4-FFF2-40B4-BE49-F238E27FC236}">
                <a16:creationId xmlns:a16="http://schemas.microsoft.com/office/drawing/2014/main" id="{F420F074-F6A5-AD35-42CB-E776FEF410F4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96BEC61-33CA-FAA8-9823-27A15B014A2C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梱包ボディ</a:t>
            </a:r>
          </a:p>
        </xdr:txBody>
      </xdr:sp>
    </xdr:grpSp>
    <xdr:clientData/>
  </xdr:twoCellAnchor>
  <xdr:twoCellAnchor>
    <xdr:from>
      <xdr:col>3</xdr:col>
      <xdr:colOff>24921</xdr:colOff>
      <xdr:row>80</xdr:row>
      <xdr:rowOff>116416</xdr:rowOff>
    </xdr:from>
    <xdr:to>
      <xdr:col>8</xdr:col>
      <xdr:colOff>116996</xdr:colOff>
      <xdr:row>84</xdr:row>
      <xdr:rowOff>132281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0280FA50-AD64-4A37-B779-17DFD06DE244}"/>
            </a:ext>
          </a:extLst>
        </xdr:cNvPr>
        <xdr:cNvGrpSpPr/>
      </xdr:nvGrpSpPr>
      <xdr:grpSpPr>
        <a:xfrm>
          <a:off x="558775" y="13247309"/>
          <a:ext cx="973364" cy="669008"/>
          <a:chOff x="571499" y="31381700"/>
          <a:chExt cx="981075" cy="720714"/>
        </a:xfrm>
      </xdr:grpSpPr>
      <xdr:sp macro="" textlink="">
        <xdr:nvSpPr>
          <xdr:cNvPr id="60" name="フローチャート: 磁気ディスク 59">
            <a:extLst>
              <a:ext uri="{FF2B5EF4-FFF2-40B4-BE49-F238E27FC236}">
                <a16:creationId xmlns:a16="http://schemas.microsoft.com/office/drawing/2014/main" id="{C504DF64-0FA9-7794-55E3-D208E07DAE81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A13AEFC9-B7D6-AC43-F261-33B245A1D071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梱包ヘッダ</a:t>
            </a:r>
          </a:p>
        </xdr:txBody>
      </xdr:sp>
    </xdr:grpSp>
    <xdr:clientData/>
  </xdr:twoCellAnchor>
  <xdr:twoCellAnchor>
    <xdr:from>
      <xdr:col>3</xdr:col>
      <xdr:colOff>38100</xdr:colOff>
      <xdr:row>78</xdr:row>
      <xdr:rowOff>9525</xdr:rowOff>
    </xdr:from>
    <xdr:to>
      <xdr:col>8</xdr:col>
      <xdr:colOff>114300</xdr:colOff>
      <xdr:row>82</xdr:row>
      <xdr:rowOff>28574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29847D5C-80CD-4952-87E9-A937CD0ED811}"/>
            </a:ext>
          </a:extLst>
        </xdr:cNvPr>
        <xdr:cNvGrpSpPr/>
      </xdr:nvGrpSpPr>
      <xdr:grpSpPr>
        <a:xfrm>
          <a:off x="568779" y="12810671"/>
          <a:ext cx="960664" cy="678542"/>
          <a:chOff x="571499" y="31381700"/>
          <a:chExt cx="981075" cy="720724"/>
        </a:xfrm>
      </xdr:grpSpPr>
      <xdr:sp macro="" textlink="">
        <xdr:nvSpPr>
          <xdr:cNvPr id="63" name="フローチャート: 磁気ディスク 62">
            <a:extLst>
              <a:ext uri="{FF2B5EF4-FFF2-40B4-BE49-F238E27FC236}">
                <a16:creationId xmlns:a16="http://schemas.microsoft.com/office/drawing/2014/main" id="{979729C0-DCE1-43F0-A4E9-6E882025504B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665BA085-3AAA-D08C-9428-C7C153C067E7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引当指示ボディ</a:t>
            </a:r>
          </a:p>
        </xdr:txBody>
      </xdr:sp>
    </xdr:grpSp>
    <xdr:clientData/>
  </xdr:twoCellAnchor>
  <xdr:twoCellAnchor>
    <xdr:from>
      <xdr:col>3</xdr:col>
      <xdr:colOff>38100</xdr:colOff>
      <xdr:row>75</xdr:row>
      <xdr:rowOff>76200</xdr:rowOff>
    </xdr:from>
    <xdr:to>
      <xdr:col>8</xdr:col>
      <xdr:colOff>114300</xdr:colOff>
      <xdr:row>79</xdr:row>
      <xdr:rowOff>95249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56C7A1A7-6019-423B-BCE6-2AEB0798DC7A}"/>
            </a:ext>
          </a:extLst>
        </xdr:cNvPr>
        <xdr:cNvGrpSpPr/>
      </xdr:nvGrpSpPr>
      <xdr:grpSpPr>
        <a:xfrm>
          <a:off x="568779" y="12390664"/>
          <a:ext cx="960664" cy="672192"/>
          <a:chOff x="571499" y="31381700"/>
          <a:chExt cx="981075" cy="720724"/>
        </a:xfrm>
      </xdr:grpSpPr>
      <xdr:sp macro="" textlink="">
        <xdr:nvSpPr>
          <xdr:cNvPr id="66" name="フローチャート: 磁気ディスク 65">
            <a:extLst>
              <a:ext uri="{FF2B5EF4-FFF2-40B4-BE49-F238E27FC236}">
                <a16:creationId xmlns:a16="http://schemas.microsoft.com/office/drawing/2014/main" id="{5A20C5F4-0868-EE65-C73D-9B5100F77CBD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A3DFEFD3-5B6C-D23F-E174-C482D6C62516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引当指示ヘッダ</a:t>
            </a:r>
          </a:p>
        </xdr:txBody>
      </xdr:sp>
    </xdr:grpSp>
    <xdr:clientData/>
  </xdr:twoCellAnchor>
  <xdr:twoCellAnchor>
    <xdr:from>
      <xdr:col>9</xdr:col>
      <xdr:colOff>183045</xdr:colOff>
      <xdr:row>78</xdr:row>
      <xdr:rowOff>49398</xdr:rowOff>
    </xdr:from>
    <xdr:to>
      <xdr:col>15</xdr:col>
      <xdr:colOff>75095</xdr:colOff>
      <xdr:row>82</xdr:row>
      <xdr:rowOff>74033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ADCA9DD3-3D8D-4C1D-9960-75C773F11554}"/>
            </a:ext>
          </a:extLst>
        </xdr:cNvPr>
        <xdr:cNvGrpSpPr/>
      </xdr:nvGrpSpPr>
      <xdr:grpSpPr>
        <a:xfrm>
          <a:off x="1771906" y="12850544"/>
          <a:ext cx="956582" cy="680953"/>
          <a:chOff x="571499" y="31381700"/>
          <a:chExt cx="981075" cy="720714"/>
        </a:xfrm>
      </xdr:grpSpPr>
      <xdr:sp macro="" textlink="">
        <xdr:nvSpPr>
          <xdr:cNvPr id="69" name="フローチャート: 磁気ディスク 68">
            <a:extLst>
              <a:ext uri="{FF2B5EF4-FFF2-40B4-BE49-F238E27FC236}">
                <a16:creationId xmlns:a16="http://schemas.microsoft.com/office/drawing/2014/main" id="{1B08FFCA-377D-1997-0A25-3E0A2260A523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15D352F1-E63D-D00D-F3F3-D0FDD9D10E30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メッセージ</a:t>
            </a:r>
            <a:br>
              <a:rPr kumimoji="1" lang="en-US" altLang="ja-JP" sz="1100">
                <a:solidFill>
                  <a:schemeClr val="tx1"/>
                </a:solidFill>
              </a:rPr>
            </a:br>
            <a:r>
              <a:rPr kumimoji="1" lang="ja-JP" altLang="en-US" sz="1100">
                <a:solidFill>
                  <a:schemeClr val="tx1"/>
                </a:solidFill>
              </a:rPr>
              <a:t>マスタ</a:t>
            </a:r>
          </a:p>
        </xdr:txBody>
      </xdr:sp>
    </xdr:grpSp>
    <xdr:clientData/>
  </xdr:twoCellAnchor>
  <xdr:twoCellAnchor>
    <xdr:from>
      <xdr:col>9</xdr:col>
      <xdr:colOff>183533</xdr:colOff>
      <xdr:row>75</xdr:row>
      <xdr:rowOff>123456</xdr:rowOff>
    </xdr:from>
    <xdr:to>
      <xdr:col>15</xdr:col>
      <xdr:colOff>75583</xdr:colOff>
      <xdr:row>79</xdr:row>
      <xdr:rowOff>139322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37365024-5D64-41EE-9ADD-B0E98731B65A}"/>
            </a:ext>
          </a:extLst>
        </xdr:cNvPr>
        <xdr:cNvGrpSpPr/>
      </xdr:nvGrpSpPr>
      <xdr:grpSpPr>
        <a:xfrm>
          <a:off x="1772394" y="12441095"/>
          <a:ext cx="956582" cy="669009"/>
          <a:chOff x="571499" y="31381700"/>
          <a:chExt cx="981075" cy="720714"/>
        </a:xfrm>
      </xdr:grpSpPr>
      <xdr:sp macro="" textlink="">
        <xdr:nvSpPr>
          <xdr:cNvPr id="72" name="フローチャート: 磁気ディスク 71">
            <a:extLst>
              <a:ext uri="{FF2B5EF4-FFF2-40B4-BE49-F238E27FC236}">
                <a16:creationId xmlns:a16="http://schemas.microsoft.com/office/drawing/2014/main" id="{B16BB577-633E-B4D5-E268-3C2A45D484B3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71A43F69-2B20-ED3F-EC70-4885A0449208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センタ運送業者マスタ</a:t>
            </a:r>
          </a:p>
        </xdr:txBody>
      </xdr:sp>
    </xdr:grpSp>
    <xdr:clientData/>
  </xdr:twoCellAnchor>
  <xdr:twoCellAnchor>
    <xdr:from>
      <xdr:col>9</xdr:col>
      <xdr:colOff>178490</xdr:colOff>
      <xdr:row>73</xdr:row>
      <xdr:rowOff>29521</xdr:rowOff>
    </xdr:from>
    <xdr:to>
      <xdr:col>15</xdr:col>
      <xdr:colOff>70540</xdr:colOff>
      <xdr:row>77</xdr:row>
      <xdr:rowOff>54156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201C57C8-C544-49AD-8BC7-7B1848035816}"/>
            </a:ext>
          </a:extLst>
        </xdr:cNvPr>
        <xdr:cNvGrpSpPr/>
      </xdr:nvGrpSpPr>
      <xdr:grpSpPr>
        <a:xfrm>
          <a:off x="1773701" y="12014239"/>
          <a:ext cx="947057" cy="680953"/>
          <a:chOff x="571499" y="31381700"/>
          <a:chExt cx="981075" cy="720714"/>
        </a:xfrm>
      </xdr:grpSpPr>
      <xdr:sp macro="" textlink="">
        <xdr:nvSpPr>
          <xdr:cNvPr id="75" name="フローチャート: 磁気ディスク 74">
            <a:extLst>
              <a:ext uri="{FF2B5EF4-FFF2-40B4-BE49-F238E27FC236}">
                <a16:creationId xmlns:a16="http://schemas.microsoft.com/office/drawing/2014/main" id="{2844A509-0C32-9B32-42D5-392D4FBC5CBA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4E44691-B665-9918-0977-CAE33F5C7A81}"/>
              </a:ext>
            </a:extLst>
          </xdr:cNvPr>
          <xdr:cNvSpPr/>
        </xdr:nvSpPr>
        <xdr:spPr>
          <a:xfrm>
            <a:off x="641081" y="31575364"/>
            <a:ext cx="845896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latin typeface="ＭＳ Ｐゴシック 本文"/>
              </a:rPr>
              <a:t>配送コースマスタ</a:t>
            </a:r>
          </a:p>
        </xdr:txBody>
      </xdr:sp>
    </xdr:grpSp>
    <xdr:clientData/>
  </xdr:twoCellAnchor>
  <xdr:twoCellAnchor>
    <xdr:from>
      <xdr:col>9</xdr:col>
      <xdr:colOff>175315</xdr:colOff>
      <xdr:row>70</xdr:row>
      <xdr:rowOff>88347</xdr:rowOff>
    </xdr:from>
    <xdr:to>
      <xdr:col>15</xdr:col>
      <xdr:colOff>76710</xdr:colOff>
      <xdr:row>74</xdr:row>
      <xdr:rowOff>132796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33302E58-9854-4148-82BA-7E38EA246896}"/>
            </a:ext>
          </a:extLst>
        </xdr:cNvPr>
        <xdr:cNvGrpSpPr/>
      </xdr:nvGrpSpPr>
      <xdr:grpSpPr>
        <a:xfrm>
          <a:off x="1770526" y="11583208"/>
          <a:ext cx="959577" cy="700767"/>
          <a:chOff x="571499" y="31381700"/>
          <a:chExt cx="981075" cy="730249"/>
        </a:xfrm>
      </xdr:grpSpPr>
      <xdr:sp macro="" textlink="">
        <xdr:nvSpPr>
          <xdr:cNvPr id="78" name="フローチャート: 磁気ディスク 77">
            <a:extLst>
              <a:ext uri="{FF2B5EF4-FFF2-40B4-BE49-F238E27FC236}">
                <a16:creationId xmlns:a16="http://schemas.microsoft.com/office/drawing/2014/main" id="{3B95A43D-9BC2-8685-8D57-F3A944D098DF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C5471FDD-6A34-8D6E-52B5-C4774ECC7FD9}"/>
              </a:ext>
            </a:extLst>
          </xdr:cNvPr>
          <xdr:cNvSpPr/>
        </xdr:nvSpPr>
        <xdr:spPr>
          <a:xfrm>
            <a:off x="619422" y="31584899"/>
            <a:ext cx="914399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センタマスタ</a:t>
            </a:r>
          </a:p>
        </xdr:txBody>
      </xdr:sp>
    </xdr:grpSp>
    <xdr:clientData/>
  </xdr:twoCellAnchor>
  <xdr:twoCellAnchor>
    <xdr:from>
      <xdr:col>3</xdr:col>
      <xdr:colOff>31749</xdr:colOff>
      <xdr:row>72</xdr:row>
      <xdr:rowOff>150998</xdr:rowOff>
    </xdr:from>
    <xdr:to>
      <xdr:col>8</xdr:col>
      <xdr:colOff>107949</xdr:colOff>
      <xdr:row>77</xdr:row>
      <xdr:rowOff>3080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5BAA1D8F-42B2-49DE-9ED9-2863F05609B3}"/>
            </a:ext>
          </a:extLst>
        </xdr:cNvPr>
        <xdr:cNvGrpSpPr/>
      </xdr:nvGrpSpPr>
      <xdr:grpSpPr>
        <a:xfrm>
          <a:off x="559253" y="11975605"/>
          <a:ext cx="960664" cy="668511"/>
          <a:chOff x="571499" y="31381700"/>
          <a:chExt cx="981075" cy="720724"/>
        </a:xfrm>
      </xdr:grpSpPr>
      <xdr:sp macro="" textlink="">
        <xdr:nvSpPr>
          <xdr:cNvPr id="81" name="フローチャート: 磁気ディスク 80">
            <a:extLst>
              <a:ext uri="{FF2B5EF4-FFF2-40B4-BE49-F238E27FC236}">
                <a16:creationId xmlns:a16="http://schemas.microsoft.com/office/drawing/2014/main" id="{3E5C2C92-263D-9A1F-D9AB-615A76B64443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3B529959-2ABF-10B2-625C-B5D1498789D7}"/>
              </a:ext>
            </a:extLst>
          </xdr:cNvPr>
          <xdr:cNvSpPr/>
        </xdr:nvSpPr>
        <xdr:spPr>
          <a:xfrm>
            <a:off x="666750" y="31575374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出荷指示ボディ</a:t>
            </a:r>
          </a:p>
        </xdr:txBody>
      </xdr:sp>
    </xdr:grpSp>
    <xdr:clientData/>
  </xdr:twoCellAnchor>
  <xdr:twoCellAnchor>
    <xdr:from>
      <xdr:col>3</xdr:col>
      <xdr:colOff>31749</xdr:colOff>
      <xdr:row>70</xdr:row>
      <xdr:rowOff>44463</xdr:rowOff>
    </xdr:from>
    <xdr:to>
      <xdr:col>8</xdr:col>
      <xdr:colOff>107949</xdr:colOff>
      <xdr:row>74</xdr:row>
      <xdr:rowOff>76217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1663AFAC-A611-497C-97AA-FF2A5FA3395A}"/>
            </a:ext>
          </a:extLst>
        </xdr:cNvPr>
        <xdr:cNvGrpSpPr/>
      </xdr:nvGrpSpPr>
      <xdr:grpSpPr>
        <a:xfrm>
          <a:off x="559253" y="11545674"/>
          <a:ext cx="960664" cy="681722"/>
          <a:chOff x="571499" y="31381700"/>
          <a:chExt cx="981075" cy="720729"/>
        </a:xfrm>
      </xdr:grpSpPr>
      <xdr:sp macro="" textlink="">
        <xdr:nvSpPr>
          <xdr:cNvPr id="84" name="フローチャート: 磁気ディスク 83">
            <a:extLst>
              <a:ext uri="{FF2B5EF4-FFF2-40B4-BE49-F238E27FC236}">
                <a16:creationId xmlns:a16="http://schemas.microsoft.com/office/drawing/2014/main" id="{000E420A-A65B-E6CC-5EDD-B0CC93508AB4}"/>
              </a:ext>
            </a:extLst>
          </xdr:cNvPr>
          <xdr:cNvSpPr/>
        </xdr:nvSpPr>
        <xdr:spPr>
          <a:xfrm>
            <a:off x="571499" y="31381700"/>
            <a:ext cx="981075" cy="679450"/>
          </a:xfrm>
          <a:prstGeom prst="flowChartMagneticDisk">
            <a:avLst/>
          </a:prstGeom>
          <a:solidFill>
            <a:schemeClr val="bg1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A7A05359-6172-4422-9DC3-E15F425864D4}"/>
              </a:ext>
            </a:extLst>
          </xdr:cNvPr>
          <xdr:cNvSpPr/>
        </xdr:nvSpPr>
        <xdr:spPr>
          <a:xfrm>
            <a:off x="666750" y="31575379"/>
            <a:ext cx="781050" cy="527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出荷指示ヘッダ</a:t>
            </a:r>
            <a:endParaRPr kumimoji="1" lang="en-US" altLang="ja-JP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123825</xdr:colOff>
      <xdr:row>69</xdr:row>
      <xdr:rowOff>63500</xdr:rowOff>
    </xdr:from>
    <xdr:to>
      <xdr:col>17</xdr:col>
      <xdr:colOff>0</xdr:colOff>
      <xdr:row>89</xdr:row>
      <xdr:rowOff>75197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FB9AF963-EF67-464F-AE3E-981C5116D266}"/>
            </a:ext>
          </a:extLst>
        </xdr:cNvPr>
        <xdr:cNvSpPr/>
      </xdr:nvSpPr>
      <xdr:spPr>
        <a:xfrm>
          <a:off x="523875" y="11226800"/>
          <a:ext cx="2876550" cy="32501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8356</xdr:colOff>
      <xdr:row>73</xdr:row>
      <xdr:rowOff>41693</xdr:rowOff>
    </xdr:from>
    <xdr:to>
      <xdr:col>22</xdr:col>
      <xdr:colOff>115638</xdr:colOff>
      <xdr:row>73</xdr:row>
      <xdr:rowOff>48545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1084C29A-1CD6-4970-B545-0B957CB0CF0E}"/>
            </a:ext>
          </a:extLst>
        </xdr:cNvPr>
        <xdr:cNvCxnSpPr>
          <a:cxnSpLocks/>
          <a:endCxn id="88" idx="1"/>
        </xdr:cNvCxnSpPr>
      </xdr:nvCxnSpPr>
      <xdr:spPr>
        <a:xfrm>
          <a:off x="3408781" y="11852693"/>
          <a:ext cx="1107407" cy="685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115638</xdr:colOff>
      <xdr:row>71</xdr:row>
      <xdr:rowOff>97758</xdr:rowOff>
    </xdr:from>
    <xdr:to>
      <xdr:col>29</xdr:col>
      <xdr:colOff>36931</xdr:colOff>
      <xdr:row>74</xdr:row>
      <xdr:rowOff>154907</xdr:rowOff>
    </xdr:to>
    <xdr:sp macro="" textlink="">
      <xdr:nvSpPr>
        <xdr:cNvPr id="88" name="フローチャート: 表示 87">
          <a:extLst>
            <a:ext uri="{FF2B5EF4-FFF2-40B4-BE49-F238E27FC236}">
              <a16:creationId xmlns:a16="http://schemas.microsoft.com/office/drawing/2014/main" id="{CA9D1A9C-9575-4DC5-8E59-ACB06B7F498A}"/>
            </a:ext>
          </a:extLst>
        </xdr:cNvPr>
        <xdr:cNvSpPr/>
      </xdr:nvSpPr>
      <xdr:spPr>
        <a:xfrm>
          <a:off x="4516188" y="11584908"/>
          <a:ext cx="1321468" cy="542924"/>
        </a:xfrm>
        <a:prstGeom prst="flowChartDisplay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運送業者データ出力</a:t>
          </a:r>
        </a:p>
      </xdr:txBody>
    </xdr:sp>
    <xdr:clientData/>
  </xdr:twoCellAnchor>
  <xdr:twoCellAnchor>
    <xdr:from>
      <xdr:col>25</xdr:col>
      <xdr:colOff>176297</xdr:colOff>
      <xdr:row>74</xdr:row>
      <xdr:rowOff>154907</xdr:rowOff>
    </xdr:from>
    <xdr:to>
      <xdr:col>25</xdr:col>
      <xdr:colOff>181730</xdr:colOff>
      <xdr:row>79</xdr:row>
      <xdr:rowOff>116974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111AAF48-6A79-42F5-884A-B44CAE4F5D11}"/>
            </a:ext>
          </a:extLst>
        </xdr:cNvPr>
        <xdr:cNvCxnSpPr>
          <a:cxnSpLocks/>
          <a:stCxn id="88" idx="2"/>
          <a:endCxn id="91" idx="0"/>
        </xdr:cNvCxnSpPr>
      </xdr:nvCxnSpPr>
      <xdr:spPr>
        <a:xfrm>
          <a:off x="5176922" y="12127832"/>
          <a:ext cx="5433" cy="77169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35763</xdr:colOff>
      <xdr:row>79</xdr:row>
      <xdr:rowOff>116974</xdr:rowOff>
    </xdr:from>
    <xdr:to>
      <xdr:col>33</xdr:col>
      <xdr:colOff>127671</xdr:colOff>
      <xdr:row>85</xdr:row>
      <xdr:rowOff>116974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BF58F19A-F2CD-47DC-B7A5-A1EE04EAC836}"/>
            </a:ext>
          </a:extLst>
        </xdr:cNvPr>
        <xdr:cNvGrpSpPr/>
      </xdr:nvGrpSpPr>
      <xdr:grpSpPr>
        <a:xfrm>
          <a:off x="3219834" y="13084581"/>
          <a:ext cx="2742126" cy="979714"/>
          <a:chOff x="3810000" y="37256118"/>
          <a:chExt cx="2849145" cy="1052763"/>
        </a:xfrm>
      </xdr:grpSpPr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F0ED4BF3-E131-8F8D-5BB0-5AA72740D2F9}"/>
              </a:ext>
            </a:extLst>
          </xdr:cNvPr>
          <xdr:cNvSpPr/>
        </xdr:nvSpPr>
        <xdr:spPr>
          <a:xfrm>
            <a:off x="3810000" y="37256118"/>
            <a:ext cx="2849145" cy="1052763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フローチャート: 記憶データ 91">
            <a:extLst>
              <a:ext uri="{FF2B5EF4-FFF2-40B4-BE49-F238E27FC236}">
                <a16:creationId xmlns:a16="http://schemas.microsoft.com/office/drawing/2014/main" id="{55925662-B0BE-0EE3-B62A-86FC35BB0071}"/>
              </a:ext>
            </a:extLst>
          </xdr:cNvPr>
          <xdr:cNvSpPr/>
        </xdr:nvSpPr>
        <xdr:spPr>
          <a:xfrm>
            <a:off x="4602000" y="37459645"/>
            <a:ext cx="1092909" cy="551552"/>
          </a:xfrm>
          <a:prstGeom prst="flowChartOnlineStorage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岡山県貨物運送</a:t>
            </a:r>
            <a:endParaRPr lang="ja-JP" altLang="ja-JP">
              <a:solidFill>
                <a:schemeClr val="tx1"/>
              </a:solidFill>
              <a:effectLst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13</xdr:row>
      <xdr:rowOff>13607</xdr:rowOff>
    </xdr:from>
    <xdr:to>
      <xdr:col>7</xdr:col>
      <xdr:colOff>230519</xdr:colOff>
      <xdr:row>17</xdr:row>
      <xdr:rowOff>28816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DDBDC915-0A7E-468F-AC44-765C5F496F1B}"/>
            </a:ext>
          </a:extLst>
        </xdr:cNvPr>
        <xdr:cNvSpPr/>
      </xdr:nvSpPr>
      <xdr:spPr>
        <a:xfrm>
          <a:off x="7932964" y="2313214"/>
          <a:ext cx="1495984" cy="722781"/>
        </a:xfrm>
        <a:prstGeom prst="wedgeRectCallout">
          <a:avLst>
            <a:gd name="adj1" fmla="val -65842"/>
            <a:gd name="adj2" fmla="val 24135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センタマスタにない追加でよいか（福山さん確認）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353785</xdr:colOff>
      <xdr:row>45</xdr:row>
      <xdr:rowOff>108857</xdr:rowOff>
    </xdr:from>
    <xdr:to>
      <xdr:col>6</xdr:col>
      <xdr:colOff>1390329</xdr:colOff>
      <xdr:row>49</xdr:row>
      <xdr:rowOff>129669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52A5C567-B5EE-4EF0-8B6D-DDF215F1F55A}"/>
            </a:ext>
          </a:extLst>
        </xdr:cNvPr>
        <xdr:cNvSpPr/>
      </xdr:nvSpPr>
      <xdr:spPr>
        <a:xfrm>
          <a:off x="8000999" y="8069036"/>
          <a:ext cx="1036544" cy="728383"/>
        </a:xfrm>
        <a:prstGeom prst="wedgeRectCallout">
          <a:avLst>
            <a:gd name="adj1" fmla="val -76747"/>
            <a:gd name="adj2" fmla="val -86313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顧客に確認必要</a:t>
          </a:r>
          <a:endParaRPr kumimoji="1" lang="en-US" altLang="ja-JP" sz="900">
            <a:solidFill>
              <a:srgbClr val="FF0000"/>
            </a:solidFill>
          </a:endParaRPr>
        </a:p>
        <a:p>
          <a:pPr algn="l"/>
          <a:r>
            <a:rPr kumimoji="1" lang="en-US" altLang="ja-JP" sz="900">
              <a:solidFill>
                <a:srgbClr val="FF0000"/>
              </a:solidFill>
            </a:rPr>
            <a:t>12~14</a:t>
          </a:r>
          <a:r>
            <a:rPr kumimoji="1" lang="ja-JP" altLang="en-US" sz="900">
              <a:solidFill>
                <a:srgbClr val="FF0000"/>
              </a:solidFill>
            </a:rPr>
            <a:t>時の場合</a:t>
          </a:r>
          <a:endParaRPr kumimoji="1" lang="en-US" altLang="ja-JP" sz="900">
            <a:solidFill>
              <a:srgbClr val="FF0000"/>
            </a:solidFill>
          </a:endParaRPr>
        </a:p>
        <a:p>
          <a:pPr algn="l"/>
          <a:r>
            <a:rPr kumimoji="1" lang="ja-JP" altLang="en-US" sz="900">
              <a:solidFill>
                <a:srgbClr val="FF0000"/>
              </a:solidFill>
            </a:rPr>
            <a:t>どのよう値か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1455964</xdr:colOff>
      <xdr:row>47</xdr:row>
      <xdr:rowOff>136072</xdr:rowOff>
    </xdr:from>
    <xdr:to>
      <xdr:col>6</xdr:col>
      <xdr:colOff>257734</xdr:colOff>
      <xdr:row>51</xdr:row>
      <xdr:rowOff>151280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CBA59B2D-63E2-47DD-AA7B-3AA27C5BB3E2}"/>
            </a:ext>
          </a:extLst>
        </xdr:cNvPr>
        <xdr:cNvSpPr/>
      </xdr:nvSpPr>
      <xdr:spPr>
        <a:xfrm>
          <a:off x="6408964" y="8450036"/>
          <a:ext cx="1495984" cy="722780"/>
        </a:xfrm>
        <a:prstGeom prst="wedgeRectCallout">
          <a:avLst>
            <a:gd name="adj1" fmla="val -11454"/>
            <a:gd name="adj2" fmla="val -8848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貨物追跡</a:t>
          </a:r>
          <a:r>
            <a:rPr kumimoji="1" lang="en-US" altLang="ja-JP" sz="900">
              <a:solidFill>
                <a:srgbClr val="FF0000"/>
              </a:solidFill>
            </a:rPr>
            <a:t>No</a:t>
          </a:r>
          <a:r>
            <a:rPr kumimoji="1" lang="ja-JP" altLang="en-US" sz="900">
              <a:solidFill>
                <a:srgbClr val="FF0000"/>
              </a:solidFill>
            </a:rPr>
            <a:t>でよいのか</a:t>
          </a:r>
          <a:endParaRPr kumimoji="1" lang="en-US" altLang="ja-JP" sz="900">
            <a:solidFill>
              <a:srgbClr val="FF0000"/>
            </a:solidFill>
          </a:endParaRPr>
        </a:p>
        <a:p>
          <a:pPr algn="l"/>
          <a:r>
            <a:rPr kumimoji="1" lang="ja-JP" altLang="en-US" sz="900">
              <a:solidFill>
                <a:srgbClr val="FF0000"/>
              </a:solidFill>
            </a:rPr>
            <a:t>福山さん確認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104775</xdr:colOff>
      <xdr:row>9</xdr:row>
      <xdr:rowOff>0</xdr:rowOff>
    </xdr:from>
    <xdr:to>
      <xdr:col>43</xdr:col>
      <xdr:colOff>75595</xdr:colOff>
      <xdr:row>10</xdr:row>
      <xdr:rowOff>123761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CCE94BD-7F8B-4560-9260-6C9C96E3F9A6}"/>
            </a:ext>
          </a:extLst>
        </xdr:cNvPr>
        <xdr:cNvSpPr/>
      </xdr:nvSpPr>
      <xdr:spPr>
        <a:xfrm>
          <a:off x="6800850" y="1543050"/>
          <a:ext cx="1056670" cy="29521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0</xdr:colOff>
      <xdr:row>30</xdr:row>
      <xdr:rowOff>66675</xdr:rowOff>
    </xdr:from>
    <xdr:to>
      <xdr:col>43</xdr:col>
      <xdr:colOff>151795</xdr:colOff>
      <xdr:row>32</xdr:row>
      <xdr:rowOff>22161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51A4D83-4D34-4590-BD17-76900136FBA9}"/>
            </a:ext>
          </a:extLst>
        </xdr:cNvPr>
        <xdr:cNvSpPr/>
      </xdr:nvSpPr>
      <xdr:spPr>
        <a:xfrm>
          <a:off x="6877050" y="5210175"/>
          <a:ext cx="1056670" cy="298386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57150</xdr:colOff>
      <xdr:row>33</xdr:row>
      <xdr:rowOff>9525</xdr:rowOff>
    </xdr:from>
    <xdr:to>
      <xdr:col>44</xdr:col>
      <xdr:colOff>31145</xdr:colOff>
      <xdr:row>34</xdr:row>
      <xdr:rowOff>136461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ADF67708-EE80-4B6A-834C-736A39EF807E}"/>
            </a:ext>
          </a:extLst>
        </xdr:cNvPr>
        <xdr:cNvSpPr/>
      </xdr:nvSpPr>
      <xdr:spPr>
        <a:xfrm>
          <a:off x="6934200" y="5667375"/>
          <a:ext cx="1059845" cy="298386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  <xdr:twoCellAnchor>
    <xdr:from>
      <xdr:col>38</xdr:col>
      <xdr:colOff>0</xdr:colOff>
      <xdr:row>40</xdr:row>
      <xdr:rowOff>0</xdr:rowOff>
    </xdr:from>
    <xdr:to>
      <xdr:col>43</xdr:col>
      <xdr:colOff>151795</xdr:colOff>
      <xdr:row>41</xdr:row>
      <xdr:rowOff>123761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6C930414-7345-4FAD-B922-AF76BBC006A9}"/>
            </a:ext>
          </a:extLst>
        </xdr:cNvPr>
        <xdr:cNvSpPr/>
      </xdr:nvSpPr>
      <xdr:spPr>
        <a:xfrm>
          <a:off x="6877050" y="6858000"/>
          <a:ext cx="1056670" cy="295211"/>
        </a:xfrm>
        <a:prstGeom prst="wedgeRectCallout">
          <a:avLst>
            <a:gd name="adj1" fmla="val -62869"/>
            <a:gd name="adj2" fmla="val 54017"/>
          </a:avLst>
        </a:prstGeom>
        <a:solidFill>
          <a:srgbClr val="FFC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</a:rPr>
            <a:t>顧客確認中</a:t>
          </a:r>
          <a:endParaRPr kumimoji="1" lang="en-US" altLang="ja-JP" sz="900">
            <a:solidFill>
              <a:srgbClr val="FF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67236</xdr:colOff>
      <xdr:row>2</xdr:row>
      <xdr:rowOff>59766</xdr:rowOff>
    </xdr:from>
    <xdr:to>
      <xdr:col>6</xdr:col>
      <xdr:colOff>890761</xdr:colOff>
      <xdr:row>9</xdr:row>
      <xdr:rowOff>95997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941E25-EE41-4FF1-AFED-DB5BB042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24648" y="403413"/>
          <a:ext cx="4372054" cy="123899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3.59.159.33\libprjcenter\Program%20Files\TeamWARE\Office\TEMP\MAIL\MV4\&#65316;&#65331;&#65432;&#65392;&#65405;&#29366;&#27841;(98.8&#26178;&#2885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n\file\DOCUME~1\HIROSH~1\LOCALS~1\Temp\C.Notes.Data\DOCUME~1\SHOICH~1\LOCALS~1\Temp\C.Notes.Data\TEMP\&#32113;&#21512;&#12522;&#12473;&#12463;&#31649;&#29702;\&#19968;&#24540;&#20445;&#23384;\&#19968;&#24540;&#20445;&#23384;\&#24066;&#22580;&#38306;&#36899;\&#26376;&#27425;&#36039;&#26009;\(H15.1.3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151.osss.g01.fujitsu.local\f01264\Users\Fsolik72\AppData\Roaming\WJWorkArea\V3\7\Work\xxx\xx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-2500SV\freedata\Free\SS_DOC\9-4-2&#35069;&#368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99\DB&#35373;&#35336;&#26360;\&#12486;&#12540;&#12502;&#1252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現行月額 昇順"/>
      <sheetName val="現行月額"/>
      <sheetName val="現行月額(DSのみ)"/>
      <sheetName val="現行月額(DSのみ) (2)"/>
      <sheetName val="ＤＳﾘｰｽ残試算"/>
      <sheetName val="新規ＧＰ費用試算"/>
      <sheetName val="HITOSS費用一覧"/>
      <sheetName val="HITOSS費用一覧 98.6時点(2)"/>
      <sheetName val="ＤＳ月額推移"/>
      <sheetName val="ＧＰ切換試算 1案"/>
      <sheetName val="ＧＰ切換試算 2案"/>
      <sheetName val="ＧＰ切換試算 2案 3社含む"/>
      <sheetName val="ＧＰ切換試算 2案 短縮版"/>
      <sheetName val="ＧＰ切換試算一覧表"/>
      <sheetName val="ＧＰ切換試算一覧表 (18+10+1社除く)"/>
      <sheetName val="リスト"/>
      <sheetName val="設定値確認設定シート（リスト値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提出資料"/>
      <sheetName val="運用残高表"/>
      <sheetName val="手入力"/>
      <sheetName val="マニュアル"/>
      <sheetName val="通貨OP(G)"/>
      <sheetName val="通貨OP"/>
      <sheetName val="オプション集計"/>
      <sheetName val="外貨預金"/>
      <sheetName val="米国債先物"/>
      <sheetName val="為替"/>
      <sheetName val="債先(まとめ)"/>
      <sheetName val="債券先物"/>
      <sheetName val="G_Yen"/>
      <sheetName val="G_Neutral"/>
      <sheetName val="G_Gai"/>
      <sheetName val="純投２（円債）"/>
      <sheetName val="純投２（外債）"/>
      <sheetName val="期初"/>
      <sheetName val="Profit"/>
      <sheetName val="FBond"/>
      <sheetName val="Equity"/>
      <sheetName val="OptionValue"/>
      <sheetName val="ＣＰ"/>
      <sheetName val="ＣＰ定義"/>
      <sheetName val="MBO"/>
      <sheetName val="ＶａＲ"/>
      <sheetName val="LUX"/>
      <sheetName val="VaR値"/>
      <sheetName val="円債OP"/>
      <sheetName val="外債OP"/>
      <sheetName val="JIKA"/>
      <sheetName val="武田株式"/>
      <sheetName val="ﾍｯｼﾞ遵守状況"/>
      <sheetName val="ｸﾞﾛｰﾊﾞﾙ為替"/>
      <sheetName val="追加純投為替"/>
      <sheetName val="全体"/>
      <sheetName val="為替勘定別"/>
      <sheetName val="リスク量"/>
      <sheetName val="為替（ﾁｪｯｸ）"/>
      <sheetName val="為替（ｱｸｾｽ）"/>
      <sheetName val="株信"/>
      <sheetName val="Funds"/>
      <sheetName val="外国株式"/>
      <sheetName val="特金ＤＢ"/>
      <sheetName val="為替集計"/>
      <sheetName val="枠版"/>
      <sheetName val="債先ヘッジ率"/>
      <sheetName val="OP集計"/>
      <sheetName val="株OP"/>
      <sheetName val="profit (2000年度)"/>
      <sheetName val="含み調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4-2製造"/>
    </sheetNames>
    <definedNames>
      <definedName name="Page_Jump"/>
      <definedName name="Page_Print"/>
      <definedName name="Page_SetUp"/>
      <definedName name="Sheet_Name_Get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一覧"/>
      <sheetName val="データ項目基本"/>
      <sheetName val="ヘッダ"/>
      <sheetName val="改版履歴"/>
      <sheetName val="目次"/>
      <sheetName val="一覧・成績"/>
      <sheetName val="共通テストケース"/>
      <sheetName val="テストケース"/>
      <sheetName val="結果サマリ"/>
      <sheetName val="次工程への申送り事項"/>
      <sheetName val="画面項目部品チェックリスト"/>
      <sheetName val="管理シート"/>
      <sheetName val="基本契約KFC"/>
      <sheetName val="項目レコードテーブル"/>
      <sheetName val="物流センタマスタ"/>
      <sheetName val="D物流センタJA管理"/>
      <sheetName val="D物流送受信管理"/>
      <sheetName val="他業態送受信管理"/>
      <sheetName val="メニュー管理"/>
      <sheetName val="M_MSG"/>
      <sheetName val="M_MSG内容"/>
      <sheetName val="白紙"/>
      <sheetName val="はじめに"/>
      <sheetName val="変更履歴"/>
      <sheetName val="一覧表"/>
      <sheetName val="法1"/>
      <sheetName val="法2"/>
      <sheetName val="法3"/>
      <sheetName val="法4"/>
      <sheetName val="法5"/>
      <sheetName val="法6"/>
      <sheetName val="法7"/>
      <sheetName val="法8"/>
      <sheetName val="法9"/>
      <sheetName val="学1"/>
      <sheetName val="学2"/>
      <sheetName val="学3"/>
      <sheetName val="学4"/>
      <sheetName val="学5"/>
      <sheetName val="学6"/>
      <sheetName val="学7"/>
      <sheetName val="学8"/>
      <sheetName val="学9"/>
      <sheetName val="学10"/>
      <sheetName val="base"/>
      <sheetName val="ﾍﾞｰｽ"/>
      <sheetName val="system-hojin-kikan"/>
      <sheetName val="system-gakno-kikan"/>
      <sheetName val="法10"/>
      <sheetName val="学11"/>
      <sheetName val="学12"/>
      <sheetName val="学13"/>
      <sheetName val="VBCorp"/>
      <sheetName val="holiday"/>
      <sheetName val="2"/>
      <sheetName val="3"/>
      <sheetName val="4.2(ﾊﾟﾀｰﾝ1)"/>
      <sheetName val="5"/>
      <sheetName val="6(ﾊﾟﾀｰﾝ1)"/>
      <sheetName val="6(ﾊﾟﾀｰﾝ2)"/>
      <sheetName val="表紙"/>
      <sheetName val="1"/>
    </sheetNames>
    <definedNames>
      <definedName name="x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08BE-FB8A-45DA-97A4-CF6A2083A0EB}">
  <sheetPr>
    <pageSetUpPr fitToPage="1"/>
  </sheetPr>
  <dimension ref="A1:BI46"/>
  <sheetViews>
    <sheetView showGridLines="0" zoomScale="70" zoomScaleNormal="70" workbookViewId="0"/>
  </sheetViews>
  <sheetFormatPr defaultColWidth="2.6328125" defaultRowHeight="15"/>
  <cols>
    <col min="1" max="16384" width="2.6328125" style="20"/>
  </cols>
  <sheetData>
    <row r="1" spans="1:61" ht="15.5" thickBot="1"/>
    <row r="2" spans="1:61" ht="14.25" customHeight="1">
      <c r="A2" s="21"/>
      <c r="B2" s="22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5"/>
    </row>
    <row r="3" spans="1:61" ht="14.25" customHeight="1">
      <c r="A3" s="26"/>
      <c r="B3" s="27"/>
      <c r="C3" s="345" t="s">
        <v>0</v>
      </c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5"/>
      <c r="AG3" s="345"/>
      <c r="AH3" s="345"/>
      <c r="AI3" s="345"/>
      <c r="AJ3" s="345"/>
      <c r="AK3" s="345"/>
      <c r="AL3" s="345"/>
      <c r="AM3" s="345"/>
      <c r="AN3" s="345"/>
      <c r="AO3" s="345"/>
      <c r="AP3" s="345"/>
      <c r="AQ3" s="345"/>
      <c r="AR3" s="345"/>
      <c r="AS3" s="345"/>
      <c r="AT3" s="345"/>
      <c r="AU3" s="345"/>
      <c r="AV3" s="345"/>
      <c r="AW3" s="345"/>
      <c r="AX3" s="345"/>
      <c r="AY3" s="345"/>
      <c r="AZ3" s="345"/>
      <c r="BA3" s="345"/>
      <c r="BB3" s="345"/>
      <c r="BC3" s="345"/>
      <c r="BD3" s="345"/>
      <c r="BE3" s="345"/>
      <c r="BF3" s="345"/>
      <c r="BG3" s="345"/>
      <c r="BH3" s="345"/>
      <c r="BI3" s="28"/>
    </row>
    <row r="4" spans="1:61" ht="14.25" customHeight="1">
      <c r="A4" s="26"/>
      <c r="B4" s="27"/>
      <c r="C4" s="345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5"/>
      <c r="AK4" s="345"/>
      <c r="AL4" s="345"/>
      <c r="AM4" s="345"/>
      <c r="AN4" s="345"/>
      <c r="AO4" s="345"/>
      <c r="AP4" s="345"/>
      <c r="AQ4" s="345"/>
      <c r="AR4" s="345"/>
      <c r="AS4" s="345"/>
      <c r="AT4" s="345"/>
      <c r="AU4" s="345"/>
      <c r="AV4" s="345"/>
      <c r="AW4" s="345"/>
      <c r="AX4" s="345"/>
      <c r="AY4" s="345"/>
      <c r="AZ4" s="345"/>
      <c r="BA4" s="345"/>
      <c r="BB4" s="345"/>
      <c r="BC4" s="345"/>
      <c r="BD4" s="345"/>
      <c r="BE4" s="345"/>
      <c r="BF4" s="345"/>
      <c r="BG4" s="345"/>
      <c r="BH4" s="345"/>
      <c r="BI4" s="28"/>
    </row>
    <row r="5" spans="1:61" ht="14.25" customHeight="1">
      <c r="A5" s="26"/>
      <c r="B5" s="27"/>
      <c r="C5" s="345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5"/>
      <c r="AK5" s="345"/>
      <c r="AL5" s="345"/>
      <c r="AM5" s="345"/>
      <c r="AN5" s="345"/>
      <c r="AO5" s="345"/>
      <c r="AP5" s="345"/>
      <c r="AQ5" s="345"/>
      <c r="AR5" s="345"/>
      <c r="AS5" s="345"/>
      <c r="AT5" s="345"/>
      <c r="AU5" s="345"/>
      <c r="AV5" s="345"/>
      <c r="AW5" s="345"/>
      <c r="AX5" s="345"/>
      <c r="AY5" s="345"/>
      <c r="AZ5" s="345"/>
      <c r="BA5" s="345"/>
      <c r="BB5" s="345"/>
      <c r="BC5" s="345"/>
      <c r="BD5" s="345"/>
      <c r="BE5" s="345"/>
      <c r="BF5" s="345"/>
      <c r="BG5" s="345"/>
      <c r="BH5" s="345"/>
      <c r="BI5" s="28"/>
    </row>
    <row r="6" spans="1:61" ht="14.25" customHeight="1">
      <c r="A6" s="26"/>
      <c r="B6" s="27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8"/>
    </row>
    <row r="7" spans="1:61" ht="14.25" customHeight="1">
      <c r="A7" s="26"/>
      <c r="B7" s="27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8"/>
    </row>
    <row r="8" spans="1:61" ht="14.25" customHeight="1">
      <c r="A8" s="26"/>
      <c r="B8" s="27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8"/>
    </row>
    <row r="9" spans="1:61" ht="14.25" customHeight="1">
      <c r="A9" s="26"/>
      <c r="B9" s="27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8"/>
    </row>
    <row r="10" spans="1:61" ht="14.25" customHeight="1">
      <c r="A10" s="26"/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8"/>
    </row>
    <row r="11" spans="1:61" ht="14.25" customHeight="1">
      <c r="A11" s="26"/>
      <c r="B11" s="27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8"/>
    </row>
    <row r="12" spans="1:61" ht="14.25" customHeight="1">
      <c r="A12" s="32"/>
      <c r="B12" s="33"/>
      <c r="C12" s="32"/>
      <c r="D12" s="32"/>
      <c r="E12" s="32"/>
      <c r="F12" s="21"/>
      <c r="G12" s="21"/>
      <c r="H12" s="21"/>
      <c r="I12" s="21"/>
      <c r="J12" s="21"/>
      <c r="K12" s="21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21"/>
      <c r="BH12" s="21"/>
      <c r="BI12" s="34"/>
    </row>
    <row r="13" spans="1:61" ht="14.25" customHeight="1">
      <c r="A13" s="32"/>
      <c r="B13" s="33"/>
      <c r="C13" s="32"/>
      <c r="D13" s="32"/>
      <c r="E13" s="21"/>
      <c r="F13" s="21"/>
      <c r="G13" s="21"/>
      <c r="H13" s="21"/>
      <c r="I13" s="21"/>
      <c r="J13" s="21"/>
      <c r="K13" s="21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21"/>
      <c r="BH13" s="21"/>
      <c r="BI13" s="34"/>
    </row>
    <row r="14" spans="1:61" ht="14.25" customHeight="1">
      <c r="A14" s="32"/>
      <c r="B14" s="33"/>
      <c r="C14" s="32"/>
      <c r="D14" s="32"/>
      <c r="E14" s="32"/>
      <c r="F14" s="21"/>
      <c r="G14" s="32"/>
      <c r="H14" s="32"/>
      <c r="I14" s="32"/>
      <c r="J14" s="32"/>
      <c r="K14" s="3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21"/>
      <c r="BH14" s="21"/>
      <c r="BI14" s="34"/>
    </row>
    <row r="15" spans="1:61" ht="14.25" customHeight="1">
      <c r="A15" s="32"/>
      <c r="B15" s="33"/>
      <c r="C15" s="32"/>
      <c r="D15" s="21"/>
      <c r="E15" s="32"/>
      <c r="F15" s="21"/>
      <c r="G15" s="21"/>
      <c r="H15" s="21"/>
      <c r="I15" s="21"/>
      <c r="J15" s="21"/>
      <c r="K15" s="35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21"/>
      <c r="BH15" s="21"/>
      <c r="BI15" s="34"/>
    </row>
    <row r="16" spans="1:61" ht="14.25" customHeight="1">
      <c r="A16" s="32"/>
      <c r="B16" s="33"/>
      <c r="C16" s="32"/>
      <c r="D16" s="32"/>
      <c r="E16" s="32"/>
      <c r="F16" s="21"/>
      <c r="G16" s="21"/>
      <c r="H16" s="21"/>
      <c r="I16" s="21"/>
      <c r="J16" s="21"/>
      <c r="K16" s="35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21"/>
      <c r="BH16" s="21"/>
      <c r="BI16" s="34"/>
    </row>
    <row r="17" spans="1:61" ht="14.25" customHeight="1">
      <c r="A17" s="32"/>
      <c r="B17" s="33"/>
      <c r="C17" s="32"/>
      <c r="D17" s="32"/>
      <c r="E17" s="21"/>
      <c r="F17" s="21"/>
      <c r="G17" s="21"/>
      <c r="H17" s="346" t="str">
        <f>更新履歴!D3</f>
        <v>RBD285_STEP234_画面_パッケージ仕様書_岡山県貨物運送_v0.01</v>
      </c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  <c r="AA17" s="347"/>
      <c r="AB17" s="347"/>
      <c r="AC17" s="347"/>
      <c r="AD17" s="347"/>
      <c r="AE17" s="347"/>
      <c r="AF17" s="347"/>
      <c r="AG17" s="347"/>
      <c r="AH17" s="347"/>
      <c r="AI17" s="347"/>
      <c r="AJ17" s="347"/>
      <c r="AK17" s="347"/>
      <c r="AL17" s="347"/>
      <c r="AM17" s="347"/>
      <c r="AN17" s="347"/>
      <c r="AO17" s="347"/>
      <c r="AP17" s="347"/>
      <c r="AQ17" s="347"/>
      <c r="AR17" s="347"/>
      <c r="AS17" s="347"/>
      <c r="AT17" s="347"/>
      <c r="AU17" s="347"/>
      <c r="AV17" s="347"/>
      <c r="AW17" s="347"/>
      <c r="AX17" s="347"/>
      <c r="AY17" s="347"/>
      <c r="AZ17" s="347"/>
      <c r="BA17" s="347"/>
      <c r="BB17" s="347"/>
      <c r="BC17" s="348"/>
      <c r="BD17" s="30"/>
      <c r="BE17" s="30"/>
      <c r="BF17" s="30"/>
      <c r="BG17" s="21"/>
      <c r="BH17" s="21"/>
      <c r="BI17" s="34"/>
    </row>
    <row r="18" spans="1:61" ht="14.25" customHeight="1">
      <c r="A18" s="32"/>
      <c r="B18" s="33"/>
      <c r="C18" s="32"/>
      <c r="D18" s="32"/>
      <c r="E18" s="21"/>
      <c r="F18" s="21"/>
      <c r="G18" s="21"/>
      <c r="H18" s="349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50"/>
      <c r="W18" s="350"/>
      <c r="X18" s="350"/>
      <c r="Y18" s="350"/>
      <c r="Z18" s="350"/>
      <c r="AA18" s="350"/>
      <c r="AB18" s="350"/>
      <c r="AC18" s="350"/>
      <c r="AD18" s="350"/>
      <c r="AE18" s="350"/>
      <c r="AF18" s="350"/>
      <c r="AG18" s="350"/>
      <c r="AH18" s="350"/>
      <c r="AI18" s="350"/>
      <c r="AJ18" s="350"/>
      <c r="AK18" s="350"/>
      <c r="AL18" s="350"/>
      <c r="AM18" s="350"/>
      <c r="AN18" s="350"/>
      <c r="AO18" s="350"/>
      <c r="AP18" s="350"/>
      <c r="AQ18" s="350"/>
      <c r="AR18" s="350"/>
      <c r="AS18" s="350"/>
      <c r="AT18" s="350"/>
      <c r="AU18" s="350"/>
      <c r="AV18" s="350"/>
      <c r="AW18" s="350"/>
      <c r="AX18" s="350"/>
      <c r="AY18" s="350"/>
      <c r="AZ18" s="350"/>
      <c r="BA18" s="350"/>
      <c r="BB18" s="350"/>
      <c r="BC18" s="351"/>
      <c r="BD18" s="30"/>
      <c r="BE18" s="30"/>
      <c r="BF18" s="30"/>
      <c r="BG18" s="21"/>
      <c r="BH18" s="21"/>
      <c r="BI18" s="34"/>
    </row>
    <row r="19" spans="1:61" ht="14.25" customHeight="1">
      <c r="A19" s="32"/>
      <c r="B19" s="33"/>
      <c r="C19" s="32"/>
      <c r="D19" s="32"/>
      <c r="E19" s="21"/>
      <c r="F19" s="21"/>
      <c r="G19" s="21"/>
      <c r="H19" s="349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50"/>
      <c r="W19" s="350"/>
      <c r="X19" s="350"/>
      <c r="Y19" s="350"/>
      <c r="Z19" s="350"/>
      <c r="AA19" s="350"/>
      <c r="AB19" s="350"/>
      <c r="AC19" s="350"/>
      <c r="AD19" s="350"/>
      <c r="AE19" s="350"/>
      <c r="AF19" s="350"/>
      <c r="AG19" s="350"/>
      <c r="AH19" s="350"/>
      <c r="AI19" s="350"/>
      <c r="AJ19" s="350"/>
      <c r="AK19" s="350"/>
      <c r="AL19" s="350"/>
      <c r="AM19" s="350"/>
      <c r="AN19" s="350"/>
      <c r="AO19" s="350"/>
      <c r="AP19" s="350"/>
      <c r="AQ19" s="350"/>
      <c r="AR19" s="350"/>
      <c r="AS19" s="350"/>
      <c r="AT19" s="350"/>
      <c r="AU19" s="350"/>
      <c r="AV19" s="350"/>
      <c r="AW19" s="350"/>
      <c r="AX19" s="350"/>
      <c r="AY19" s="350"/>
      <c r="AZ19" s="350"/>
      <c r="BA19" s="350"/>
      <c r="BB19" s="350"/>
      <c r="BC19" s="351"/>
      <c r="BD19" s="30"/>
      <c r="BE19" s="30"/>
      <c r="BF19" s="30"/>
      <c r="BG19" s="21"/>
      <c r="BH19" s="21"/>
      <c r="BI19" s="34"/>
    </row>
    <row r="20" spans="1:61" ht="14.25" customHeight="1">
      <c r="A20" s="32"/>
      <c r="B20" s="33"/>
      <c r="C20" s="32"/>
      <c r="D20" s="32"/>
      <c r="E20" s="32"/>
      <c r="F20" s="21"/>
      <c r="G20" s="32"/>
      <c r="H20" s="352" t="str">
        <f>更新履歴!D4</f>
        <v>出荷管理</v>
      </c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3"/>
      <c r="AG20" s="353"/>
      <c r="AH20" s="353"/>
      <c r="AI20" s="353"/>
      <c r="AJ20" s="353"/>
      <c r="AK20" s="353"/>
      <c r="AL20" s="353"/>
      <c r="AM20" s="353"/>
      <c r="AN20" s="353"/>
      <c r="AO20" s="353"/>
      <c r="AP20" s="353"/>
      <c r="AQ20" s="353"/>
      <c r="AR20" s="353"/>
      <c r="AS20" s="353"/>
      <c r="AT20" s="353"/>
      <c r="AU20" s="353"/>
      <c r="AV20" s="353"/>
      <c r="AW20" s="353"/>
      <c r="AX20" s="353"/>
      <c r="AY20" s="353"/>
      <c r="AZ20" s="353"/>
      <c r="BA20" s="353"/>
      <c r="BB20" s="353"/>
      <c r="BC20" s="354"/>
      <c r="BD20" s="30"/>
      <c r="BE20" s="30"/>
      <c r="BF20" s="30"/>
      <c r="BG20" s="21"/>
      <c r="BH20" s="21"/>
      <c r="BI20" s="34"/>
    </row>
    <row r="21" spans="1:61" ht="14.25" customHeight="1">
      <c r="A21" s="32"/>
      <c r="B21" s="33"/>
      <c r="C21" s="32"/>
      <c r="D21" s="32"/>
      <c r="E21" s="21"/>
      <c r="F21" s="21"/>
      <c r="G21" s="21"/>
      <c r="H21" s="352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353"/>
      <c r="AC21" s="353"/>
      <c r="AD21" s="353"/>
      <c r="AE21" s="353"/>
      <c r="AF21" s="353"/>
      <c r="AG21" s="353"/>
      <c r="AH21" s="353"/>
      <c r="AI21" s="353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  <c r="AV21" s="353"/>
      <c r="AW21" s="353"/>
      <c r="AX21" s="353"/>
      <c r="AY21" s="353"/>
      <c r="AZ21" s="353"/>
      <c r="BA21" s="353"/>
      <c r="BB21" s="353"/>
      <c r="BC21" s="354"/>
      <c r="BD21" s="30"/>
      <c r="BE21" s="30"/>
      <c r="BF21" s="30"/>
      <c r="BG21" s="21"/>
      <c r="BH21" s="21"/>
      <c r="BI21" s="34"/>
    </row>
    <row r="22" spans="1:61" ht="14.25" customHeight="1">
      <c r="A22" s="32"/>
      <c r="B22" s="33"/>
      <c r="C22" s="32"/>
      <c r="D22" s="32"/>
      <c r="E22" s="21"/>
      <c r="F22" s="21"/>
      <c r="G22" s="21"/>
      <c r="H22" s="355"/>
      <c r="I22" s="356"/>
      <c r="J22" s="356"/>
      <c r="K22" s="356"/>
      <c r="L22" s="356"/>
      <c r="M22" s="356"/>
      <c r="N22" s="356"/>
      <c r="O22" s="356"/>
      <c r="P22" s="356"/>
      <c r="Q22" s="356"/>
      <c r="R22" s="356"/>
      <c r="S22" s="356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356"/>
      <c r="AF22" s="356"/>
      <c r="AG22" s="356"/>
      <c r="AH22" s="356"/>
      <c r="AI22" s="356"/>
      <c r="AJ22" s="356"/>
      <c r="AK22" s="356"/>
      <c r="AL22" s="356"/>
      <c r="AM22" s="356"/>
      <c r="AN22" s="356"/>
      <c r="AO22" s="356"/>
      <c r="AP22" s="356"/>
      <c r="AQ22" s="356"/>
      <c r="AR22" s="356"/>
      <c r="AS22" s="356"/>
      <c r="AT22" s="356"/>
      <c r="AU22" s="356"/>
      <c r="AV22" s="356"/>
      <c r="AW22" s="356"/>
      <c r="AX22" s="356"/>
      <c r="AY22" s="356"/>
      <c r="AZ22" s="356"/>
      <c r="BA22" s="356"/>
      <c r="BB22" s="356"/>
      <c r="BC22" s="357"/>
      <c r="BD22" s="30"/>
      <c r="BE22" s="30"/>
      <c r="BF22" s="30"/>
      <c r="BG22" s="21"/>
      <c r="BH22" s="21"/>
      <c r="BI22" s="34"/>
    </row>
    <row r="23" spans="1:61" ht="14.25" customHeight="1">
      <c r="A23" s="32"/>
      <c r="B23" s="33"/>
      <c r="C23" s="32"/>
      <c r="D23" s="21"/>
      <c r="E23" s="21"/>
      <c r="F23" s="21"/>
      <c r="G23" s="21"/>
      <c r="H23" s="21"/>
      <c r="I23" s="21"/>
      <c r="J23" s="21"/>
      <c r="K23" s="21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21"/>
      <c r="BH23" s="21"/>
      <c r="BI23" s="34"/>
    </row>
    <row r="24" spans="1:61" ht="14.25" customHeight="1">
      <c r="A24" s="32"/>
      <c r="B24" s="33"/>
      <c r="C24" s="32"/>
      <c r="D24" s="21"/>
      <c r="E24" s="32"/>
      <c r="F24" s="21"/>
      <c r="G24" s="32"/>
      <c r="H24" s="32"/>
      <c r="I24" s="32"/>
      <c r="J24" s="32"/>
      <c r="K24" s="21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58" t="s">
        <v>1</v>
      </c>
      <c r="Z24" s="358"/>
      <c r="AA24" s="358"/>
      <c r="AB24" s="358"/>
      <c r="AC24" s="358"/>
      <c r="AD24" s="358"/>
      <c r="AE24" s="358"/>
      <c r="AF24" s="359">
        <f ca="1">更新履歴!J2</f>
        <v>0.02</v>
      </c>
      <c r="AG24" s="359"/>
      <c r="AH24" s="359"/>
      <c r="AI24" s="359"/>
      <c r="AJ24" s="359"/>
      <c r="AK24" s="359"/>
      <c r="AL24" s="359"/>
      <c r="AM24" s="29"/>
      <c r="AN24" s="29"/>
      <c r="AO24" s="29"/>
      <c r="AP24" s="29"/>
      <c r="AQ24" s="29"/>
      <c r="AR24" s="29"/>
      <c r="AS24" s="29"/>
      <c r="AT24" s="29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2"/>
      <c r="BG24" s="32"/>
      <c r="BH24" s="32"/>
      <c r="BI24" s="36"/>
    </row>
    <row r="25" spans="1:61" ht="14.25" customHeight="1">
      <c r="A25" s="32"/>
      <c r="B25" s="33"/>
      <c r="C25" s="32"/>
      <c r="D25" s="21"/>
      <c r="E25" s="32"/>
      <c r="F25" s="32"/>
      <c r="G25" s="32"/>
      <c r="H25" s="32"/>
      <c r="I25" s="32"/>
      <c r="J25" s="32"/>
      <c r="K25" s="21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58"/>
      <c r="Z25" s="358"/>
      <c r="AA25" s="358"/>
      <c r="AB25" s="358"/>
      <c r="AC25" s="358"/>
      <c r="AD25" s="358"/>
      <c r="AE25" s="358"/>
      <c r="AF25" s="359"/>
      <c r="AG25" s="359"/>
      <c r="AH25" s="359"/>
      <c r="AI25" s="359"/>
      <c r="AJ25" s="359"/>
      <c r="AK25" s="359"/>
      <c r="AL25" s="359"/>
      <c r="AM25" s="29"/>
      <c r="AN25" s="29"/>
      <c r="AO25" s="29"/>
      <c r="AP25" s="29"/>
      <c r="AQ25" s="29"/>
      <c r="AR25" s="29"/>
      <c r="AS25" s="29"/>
      <c r="AT25" s="29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2"/>
      <c r="BG25" s="32"/>
      <c r="BH25" s="32"/>
      <c r="BI25" s="36"/>
    </row>
    <row r="26" spans="1:61" ht="14.25" customHeight="1">
      <c r="A26" s="32"/>
      <c r="B26" s="33"/>
      <c r="C26" s="32"/>
      <c r="D26" s="21"/>
      <c r="E26" s="32"/>
      <c r="F26" s="32"/>
      <c r="G26" s="32"/>
      <c r="H26" s="32"/>
      <c r="I26" s="32"/>
      <c r="J26" s="32"/>
      <c r="K26" s="21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58"/>
      <c r="Z26" s="358"/>
      <c r="AA26" s="358"/>
      <c r="AB26" s="358"/>
      <c r="AC26" s="358"/>
      <c r="AD26" s="358"/>
      <c r="AE26" s="358"/>
      <c r="AF26" s="359"/>
      <c r="AG26" s="359"/>
      <c r="AH26" s="359"/>
      <c r="AI26" s="359"/>
      <c r="AJ26" s="359"/>
      <c r="AK26" s="359"/>
      <c r="AL26" s="359"/>
      <c r="AM26" s="29"/>
      <c r="AN26" s="29"/>
      <c r="AO26" s="29"/>
      <c r="AP26" s="29"/>
      <c r="AQ26" s="29"/>
      <c r="AR26" s="29"/>
      <c r="AS26" s="29"/>
      <c r="AT26" s="29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2"/>
      <c r="BG26" s="32"/>
      <c r="BH26" s="32"/>
      <c r="BI26" s="36"/>
    </row>
    <row r="27" spans="1:61" ht="14.25" customHeight="1">
      <c r="A27" s="32"/>
      <c r="B27" s="33"/>
      <c r="C27" s="32"/>
      <c r="D27" s="21"/>
      <c r="E27" s="32"/>
      <c r="F27" s="32"/>
      <c r="G27" s="32"/>
      <c r="H27" s="32"/>
      <c r="I27" s="32"/>
      <c r="J27" s="32"/>
      <c r="K27" s="32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2"/>
      <c r="BH27" s="32"/>
      <c r="BI27" s="37"/>
    </row>
    <row r="28" spans="1:61" ht="14.25" customHeight="1">
      <c r="A28" s="32"/>
      <c r="B28" s="33"/>
      <c r="C28" s="32"/>
      <c r="D28" s="21"/>
      <c r="E28" s="32"/>
      <c r="F28" s="32"/>
      <c r="G28" s="32"/>
      <c r="H28" s="32"/>
      <c r="I28" s="32"/>
      <c r="J28" s="32"/>
      <c r="K28" s="32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2"/>
      <c r="BH28" s="32"/>
      <c r="BI28" s="37"/>
    </row>
    <row r="29" spans="1:61" ht="14.25" customHeight="1">
      <c r="A29" s="32"/>
      <c r="B29" s="33"/>
      <c r="C29" s="32"/>
      <c r="D29" s="21"/>
      <c r="E29" s="32"/>
      <c r="F29" s="32"/>
      <c r="G29" s="32"/>
      <c r="H29" s="32"/>
      <c r="I29" s="32"/>
      <c r="J29" s="32"/>
      <c r="K29" s="32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2"/>
      <c r="BH29" s="32"/>
      <c r="BI29" s="37"/>
    </row>
    <row r="30" spans="1:61" ht="14.25" customHeight="1">
      <c r="A30" s="32"/>
      <c r="B30" s="33"/>
      <c r="C30" s="32"/>
      <c r="D30" s="21"/>
      <c r="E30" s="32"/>
      <c r="F30" s="32"/>
      <c r="G30" s="32"/>
      <c r="H30" s="32"/>
      <c r="I30" s="32"/>
      <c r="J30" s="32"/>
      <c r="K30" s="32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  <c r="AI30" s="344"/>
      <c r="AJ30" s="344"/>
      <c r="AK30" s="344"/>
      <c r="AL30" s="344"/>
      <c r="AM30" s="29"/>
      <c r="AN30" s="29"/>
      <c r="AO30" s="29"/>
      <c r="AP30" s="29"/>
      <c r="AQ30" s="29"/>
      <c r="AR30" s="29"/>
      <c r="AS30" s="29"/>
      <c r="AT30" s="29"/>
      <c r="AU30" s="29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2"/>
      <c r="BH30" s="32"/>
      <c r="BI30" s="37"/>
    </row>
    <row r="31" spans="1:61" ht="14.25" customHeight="1">
      <c r="A31" s="32"/>
      <c r="B31" s="33"/>
      <c r="C31" s="32"/>
      <c r="D31" s="21"/>
      <c r="E31" s="32"/>
      <c r="F31" s="32"/>
      <c r="G31" s="32"/>
      <c r="H31" s="32"/>
      <c r="I31" s="32"/>
      <c r="J31" s="32"/>
      <c r="K31" s="32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29"/>
      <c r="AN31" s="29"/>
      <c r="AO31" s="29"/>
      <c r="AP31" s="29"/>
      <c r="AQ31" s="29"/>
      <c r="AR31" s="29"/>
      <c r="AS31" s="29"/>
      <c r="AT31" s="29"/>
      <c r="AU31" s="29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2"/>
      <c r="BH31" s="32"/>
      <c r="BI31" s="37"/>
    </row>
    <row r="32" spans="1:61" ht="14.25" customHeight="1">
      <c r="A32" s="32"/>
      <c r="B32" s="33"/>
      <c r="C32" s="32"/>
      <c r="D32" s="21"/>
      <c r="E32" s="32"/>
      <c r="F32" s="32"/>
      <c r="G32" s="32"/>
      <c r="H32" s="32"/>
      <c r="I32" s="32"/>
      <c r="J32" s="32"/>
      <c r="K32" s="32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29"/>
      <c r="AN32" s="29"/>
      <c r="AO32" s="29"/>
      <c r="AP32" s="29"/>
      <c r="AQ32" s="29"/>
      <c r="AR32" s="29"/>
      <c r="AS32" s="29"/>
      <c r="AT32" s="29"/>
      <c r="AU32" s="29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2"/>
      <c r="BH32" s="32"/>
      <c r="BI32" s="37"/>
    </row>
    <row r="33" spans="1:61" ht="14.25" customHeight="1">
      <c r="A33" s="32"/>
      <c r="B33" s="33"/>
      <c r="C33" s="32"/>
      <c r="D33" s="21"/>
      <c r="E33" s="32"/>
      <c r="F33" s="32"/>
      <c r="G33" s="32"/>
      <c r="H33" s="32"/>
      <c r="I33" s="32"/>
      <c r="J33" s="32"/>
      <c r="K33" s="32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2"/>
      <c r="BH33" s="32"/>
      <c r="BI33" s="37"/>
    </row>
    <row r="34" spans="1:61" ht="14.25" customHeight="1">
      <c r="A34" s="26"/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44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8"/>
    </row>
    <row r="35" spans="1:61" ht="14.25" customHeight="1">
      <c r="A35" s="26"/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8"/>
    </row>
    <row r="36" spans="1:61" ht="14.25" customHeight="1">
      <c r="A36" s="26"/>
      <c r="B36" s="27"/>
      <c r="C36" s="29"/>
      <c r="D36" s="29"/>
      <c r="E36" s="29"/>
      <c r="F36" s="29"/>
      <c r="G36" s="29"/>
      <c r="H36" s="29"/>
      <c r="I36" s="29"/>
      <c r="J36" s="29"/>
      <c r="K36" s="29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44"/>
      <c r="Z36" s="344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28"/>
    </row>
    <row r="37" spans="1:61" ht="14.25" customHeight="1">
      <c r="A37" s="26"/>
      <c r="B37" s="27"/>
      <c r="C37" s="29"/>
      <c r="D37" s="29"/>
      <c r="E37" s="29"/>
      <c r="F37" s="29"/>
      <c r="G37" s="29"/>
      <c r="H37" s="29"/>
      <c r="I37" s="29"/>
      <c r="J37" s="29"/>
      <c r="K37" s="29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28"/>
    </row>
    <row r="38" spans="1:61" ht="14.25" customHeight="1">
      <c r="A38" s="26"/>
      <c r="B38" s="27"/>
      <c r="C38" s="29"/>
      <c r="D38" s="29"/>
      <c r="E38" s="29"/>
      <c r="F38" s="29"/>
      <c r="G38" s="29"/>
      <c r="H38" s="29"/>
      <c r="I38" s="29"/>
      <c r="J38" s="29"/>
      <c r="K38" s="29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28"/>
    </row>
    <row r="39" spans="1:61" ht="14.25" customHeight="1">
      <c r="A39" s="26"/>
      <c r="B39" s="27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28"/>
    </row>
    <row r="40" spans="1:61" ht="14.25" customHeight="1">
      <c r="A40" s="26"/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28"/>
    </row>
    <row r="41" spans="1:61" ht="14.25" customHeight="1">
      <c r="A41" s="40"/>
      <c r="B41" s="4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4"/>
    </row>
    <row r="42" spans="1:61" ht="14.25" customHeight="1">
      <c r="A42" s="40"/>
      <c r="B42" s="4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4"/>
    </row>
    <row r="43" spans="1:61" ht="14.25" customHeight="1">
      <c r="A43" s="26"/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28"/>
    </row>
    <row r="44" spans="1:61" ht="14.25" customHeight="1">
      <c r="A44" s="42"/>
      <c r="B44" s="43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44"/>
    </row>
    <row r="45" spans="1:61" ht="14.25" customHeight="1">
      <c r="A45" s="42"/>
      <c r="B45" s="43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44"/>
    </row>
    <row r="46" spans="1:61" ht="14.25" customHeight="1" thickBot="1">
      <c r="A46" s="26"/>
      <c r="B46" s="45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7"/>
    </row>
  </sheetData>
  <mergeCells count="7">
    <mergeCell ref="Y34:AL36"/>
    <mergeCell ref="C3:BH5"/>
    <mergeCell ref="H17:BC19"/>
    <mergeCell ref="H20:BC22"/>
    <mergeCell ref="Y24:AE26"/>
    <mergeCell ref="AF24:AL26"/>
    <mergeCell ref="Y30:AL32"/>
  </mergeCells>
  <phoneticPr fontId="4"/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D025-6F8A-49B5-982E-E949F554C62D}">
  <dimension ref="B1:X38"/>
  <sheetViews>
    <sheetView showGridLines="0" zoomScaleNormal="100" workbookViewId="0">
      <selection activeCell="C9" sqref="C9:D9"/>
    </sheetView>
  </sheetViews>
  <sheetFormatPr defaultColWidth="6.90625" defaultRowHeight="13.5"/>
  <cols>
    <col min="1" max="1" width="1" style="49" customWidth="1"/>
    <col min="2" max="2" width="6.7265625" style="48" customWidth="1"/>
    <col min="3" max="3" width="6.90625" style="48"/>
    <col min="4" max="12" width="6.90625" style="49"/>
    <col min="13" max="15" width="6.90625" style="51"/>
    <col min="16" max="16" width="6.90625" style="49"/>
    <col min="17" max="18" width="6.90625" style="51"/>
    <col min="19" max="16384" width="6.90625" style="49"/>
  </cols>
  <sheetData>
    <row r="1" spans="2:24"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2:24">
      <c r="B2" s="360" t="s">
        <v>2</v>
      </c>
      <c r="C2" s="361"/>
      <c r="D2" s="362" t="s">
        <v>3</v>
      </c>
      <c r="E2" s="363"/>
      <c r="F2" s="363"/>
      <c r="G2" s="364"/>
      <c r="H2" s="365" t="s">
        <v>4</v>
      </c>
      <c r="I2" s="366"/>
      <c r="J2" s="367">
        <f t="array" aca="1" ref="J2" ca="1">IF(B8="","",INDIRECT("B"&amp;MAX(INDEX((LEN(B8:B1000)&gt;0)*ROW(B8:B1000),0))))</f>
        <v>0.02</v>
      </c>
      <c r="K2" s="368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2:24">
      <c r="B3" s="360" t="s">
        <v>5</v>
      </c>
      <c r="C3" s="361"/>
      <c r="D3" s="369" t="s">
        <v>302</v>
      </c>
      <c r="E3" s="370"/>
      <c r="F3" s="370"/>
      <c r="G3" s="371"/>
      <c r="H3" s="365" t="s">
        <v>6</v>
      </c>
      <c r="I3" s="366"/>
      <c r="J3" s="372" t="s">
        <v>300</v>
      </c>
      <c r="K3" s="373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2:24">
      <c r="B4" s="360" t="s">
        <v>7</v>
      </c>
      <c r="C4" s="361"/>
      <c r="D4" s="375" t="s">
        <v>298</v>
      </c>
      <c r="E4" s="376"/>
      <c r="F4" s="376"/>
      <c r="G4" s="377"/>
      <c r="H4" s="365" t="s">
        <v>8</v>
      </c>
      <c r="I4" s="366"/>
      <c r="J4" s="367" t="s">
        <v>9</v>
      </c>
      <c r="K4" s="368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2:24">
      <c r="D5" s="51"/>
      <c r="E5" s="51"/>
      <c r="F5" s="51"/>
      <c r="G5" s="51"/>
      <c r="H5" s="50"/>
      <c r="I5" s="50"/>
      <c r="J5" s="52"/>
      <c r="K5" s="52"/>
      <c r="L5" s="50"/>
      <c r="M5" s="50"/>
      <c r="N5" s="53"/>
      <c r="O5" s="53"/>
      <c r="P5" s="53"/>
      <c r="Q5" s="50"/>
      <c r="R5" s="50"/>
      <c r="S5" s="51"/>
      <c r="T5" s="51"/>
      <c r="U5" s="51"/>
    </row>
    <row r="6" spans="2:24">
      <c r="B6" s="378" t="s">
        <v>10</v>
      </c>
      <c r="C6" s="379" t="s">
        <v>11</v>
      </c>
      <c r="D6" s="379"/>
      <c r="E6" s="379"/>
      <c r="F6" s="379"/>
      <c r="G6" s="379" t="s">
        <v>12</v>
      </c>
      <c r="H6" s="379"/>
      <c r="I6" s="379"/>
      <c r="J6" s="379"/>
      <c r="K6" s="379" t="s">
        <v>13</v>
      </c>
      <c r="L6" s="379"/>
      <c r="M6" s="379"/>
      <c r="N6" s="379"/>
      <c r="O6" s="374" t="s">
        <v>14</v>
      </c>
      <c r="P6" s="374"/>
      <c r="Q6" s="374"/>
      <c r="R6" s="374"/>
      <c r="S6" s="374"/>
      <c r="T6" s="374"/>
      <c r="U6" s="374"/>
      <c r="V6" s="374"/>
      <c r="W6" s="374"/>
      <c r="X6" s="374"/>
    </row>
    <row r="7" spans="2:24">
      <c r="B7" s="378"/>
      <c r="C7" s="374" t="s">
        <v>15</v>
      </c>
      <c r="D7" s="374"/>
      <c r="E7" s="374" t="s">
        <v>16</v>
      </c>
      <c r="F7" s="374"/>
      <c r="G7" s="374" t="s">
        <v>17</v>
      </c>
      <c r="H7" s="374"/>
      <c r="I7" s="374" t="s">
        <v>18</v>
      </c>
      <c r="J7" s="374"/>
      <c r="K7" s="374" t="s">
        <v>19</v>
      </c>
      <c r="L7" s="374"/>
      <c r="M7" s="374" t="s">
        <v>20</v>
      </c>
      <c r="N7" s="374"/>
      <c r="O7" s="374"/>
      <c r="P7" s="374"/>
      <c r="Q7" s="374"/>
      <c r="R7" s="374"/>
      <c r="S7" s="374"/>
      <c r="T7" s="374"/>
      <c r="U7" s="374"/>
      <c r="V7" s="374"/>
      <c r="W7" s="374"/>
      <c r="X7" s="374"/>
    </row>
    <row r="8" spans="2:24">
      <c r="B8" s="54">
        <v>0.01</v>
      </c>
      <c r="C8" s="381">
        <v>45397</v>
      </c>
      <c r="D8" s="381"/>
      <c r="E8" s="382" t="s">
        <v>127</v>
      </c>
      <c r="F8" s="382"/>
      <c r="G8" s="381"/>
      <c r="H8" s="381"/>
      <c r="I8" s="383"/>
      <c r="J8" s="384"/>
      <c r="K8" s="381"/>
      <c r="L8" s="381"/>
      <c r="M8" s="382"/>
      <c r="N8" s="382"/>
      <c r="O8" s="380" t="s">
        <v>310</v>
      </c>
      <c r="P8" s="380"/>
      <c r="Q8" s="380"/>
      <c r="R8" s="380"/>
      <c r="S8" s="380"/>
      <c r="T8" s="380"/>
      <c r="U8" s="380"/>
      <c r="V8" s="380"/>
      <c r="W8" s="380"/>
      <c r="X8" s="380"/>
    </row>
    <row r="9" spans="2:24">
      <c r="B9" s="54">
        <v>0.02</v>
      </c>
      <c r="C9" s="381">
        <v>45409</v>
      </c>
      <c r="D9" s="381"/>
      <c r="E9" s="382" t="s">
        <v>301</v>
      </c>
      <c r="F9" s="382"/>
      <c r="G9" s="381"/>
      <c r="H9" s="381"/>
      <c r="I9" s="383"/>
      <c r="J9" s="384"/>
      <c r="K9" s="381"/>
      <c r="L9" s="381"/>
      <c r="M9" s="382"/>
      <c r="N9" s="382"/>
      <c r="O9" s="380" t="s">
        <v>110</v>
      </c>
      <c r="P9" s="380"/>
      <c r="Q9" s="380"/>
      <c r="R9" s="380"/>
      <c r="S9" s="380"/>
      <c r="T9" s="380"/>
      <c r="U9" s="380"/>
      <c r="V9" s="380"/>
      <c r="W9" s="380"/>
      <c r="X9" s="380"/>
    </row>
    <row r="10" spans="2:24">
      <c r="B10" s="54"/>
      <c r="C10" s="381"/>
      <c r="D10" s="381"/>
      <c r="E10" s="382"/>
      <c r="F10" s="382"/>
      <c r="G10" s="381"/>
      <c r="H10" s="381"/>
      <c r="I10" s="383"/>
      <c r="J10" s="384"/>
      <c r="K10" s="381"/>
      <c r="L10" s="381"/>
      <c r="M10" s="382"/>
      <c r="N10" s="382"/>
      <c r="O10" s="380"/>
      <c r="P10" s="380"/>
      <c r="Q10" s="380"/>
      <c r="R10" s="380"/>
      <c r="S10" s="380"/>
      <c r="T10" s="380"/>
      <c r="U10" s="380"/>
      <c r="V10" s="380"/>
      <c r="W10" s="380"/>
      <c r="X10" s="380"/>
    </row>
    <row r="11" spans="2:24">
      <c r="B11" s="54"/>
      <c r="C11" s="381"/>
      <c r="D11" s="381"/>
      <c r="E11" s="382"/>
      <c r="F11" s="382"/>
      <c r="G11" s="381"/>
      <c r="H11" s="381"/>
      <c r="I11" s="383"/>
      <c r="J11" s="384"/>
      <c r="K11" s="381"/>
      <c r="L11" s="381"/>
      <c r="M11" s="382"/>
      <c r="N11" s="382"/>
      <c r="O11" s="380"/>
      <c r="P11" s="380"/>
      <c r="Q11" s="380"/>
      <c r="R11" s="380"/>
      <c r="S11" s="380"/>
      <c r="T11" s="380"/>
      <c r="U11" s="380"/>
      <c r="V11" s="380"/>
      <c r="W11" s="380"/>
      <c r="X11" s="380"/>
    </row>
    <row r="12" spans="2:24" s="104" customFormat="1">
      <c r="B12" s="54"/>
      <c r="C12" s="381"/>
      <c r="D12" s="381"/>
      <c r="E12" s="382"/>
      <c r="F12" s="382"/>
      <c r="G12" s="381"/>
      <c r="H12" s="381"/>
      <c r="I12" s="382"/>
      <c r="J12" s="382"/>
      <c r="K12" s="381"/>
      <c r="L12" s="381"/>
      <c r="M12" s="382"/>
      <c r="N12" s="382"/>
      <c r="O12" s="385"/>
      <c r="P12" s="386"/>
      <c r="Q12" s="386"/>
      <c r="R12" s="386"/>
      <c r="S12" s="386"/>
      <c r="T12" s="386"/>
      <c r="U12" s="386"/>
      <c r="V12" s="386"/>
      <c r="W12" s="386"/>
      <c r="X12" s="387"/>
    </row>
    <row r="13" spans="2:24">
      <c r="B13" s="54"/>
      <c r="C13" s="381"/>
      <c r="D13" s="381"/>
      <c r="E13" s="382"/>
      <c r="F13" s="382"/>
      <c r="G13" s="381"/>
      <c r="H13" s="381"/>
      <c r="I13" s="383"/>
      <c r="J13" s="384"/>
      <c r="K13" s="381"/>
      <c r="L13" s="381"/>
      <c r="M13" s="382"/>
      <c r="N13" s="382"/>
      <c r="O13" s="388"/>
      <c r="P13" s="386"/>
      <c r="Q13" s="386"/>
      <c r="R13" s="386"/>
      <c r="S13" s="386"/>
      <c r="T13" s="386"/>
      <c r="U13" s="386"/>
      <c r="V13" s="386"/>
      <c r="W13" s="386"/>
      <c r="X13" s="387"/>
    </row>
    <row r="14" spans="2:24">
      <c r="B14" s="54"/>
      <c r="C14" s="381"/>
      <c r="D14" s="381"/>
      <c r="E14" s="382"/>
      <c r="F14" s="382"/>
      <c r="G14" s="381"/>
      <c r="H14" s="381"/>
      <c r="I14" s="383"/>
      <c r="J14" s="384"/>
      <c r="K14" s="381"/>
      <c r="L14" s="381"/>
      <c r="M14" s="382"/>
      <c r="N14" s="382"/>
      <c r="O14" s="389"/>
      <c r="P14" s="380"/>
      <c r="Q14" s="380"/>
      <c r="R14" s="380"/>
      <c r="S14" s="380"/>
      <c r="T14" s="380"/>
      <c r="U14" s="380"/>
      <c r="V14" s="380"/>
      <c r="W14" s="380"/>
      <c r="X14" s="380"/>
    </row>
    <row r="15" spans="2:24">
      <c r="B15" s="54"/>
      <c r="C15" s="381"/>
      <c r="D15" s="381"/>
      <c r="E15" s="382"/>
      <c r="F15" s="382"/>
      <c r="G15" s="381"/>
      <c r="H15" s="381"/>
      <c r="I15" s="383"/>
      <c r="J15" s="384"/>
      <c r="K15" s="381"/>
      <c r="L15" s="381"/>
      <c r="M15" s="382"/>
      <c r="N15" s="382"/>
      <c r="O15" s="389"/>
      <c r="P15" s="380"/>
      <c r="Q15" s="380"/>
      <c r="R15" s="380"/>
      <c r="S15" s="380"/>
      <c r="T15" s="380"/>
      <c r="U15" s="380"/>
      <c r="V15" s="380"/>
      <c r="W15" s="380"/>
      <c r="X15" s="380"/>
    </row>
    <row r="16" spans="2:24">
      <c r="B16" s="54"/>
      <c r="C16" s="381"/>
      <c r="D16" s="381"/>
      <c r="E16" s="382"/>
      <c r="F16" s="382"/>
      <c r="G16" s="381"/>
      <c r="H16" s="381"/>
      <c r="I16" s="382"/>
      <c r="J16" s="382"/>
      <c r="K16" s="381"/>
      <c r="L16" s="381"/>
      <c r="M16" s="382"/>
      <c r="N16" s="382"/>
      <c r="O16" s="380"/>
      <c r="P16" s="380"/>
      <c r="Q16" s="380"/>
      <c r="R16" s="380"/>
      <c r="S16" s="380"/>
      <c r="T16" s="380"/>
      <c r="U16" s="380"/>
      <c r="V16" s="380"/>
      <c r="W16" s="380"/>
      <c r="X16" s="380"/>
    </row>
    <row r="17" spans="2:24">
      <c r="B17" s="54"/>
      <c r="C17" s="381"/>
      <c r="D17" s="381"/>
      <c r="E17" s="382"/>
      <c r="F17" s="382"/>
      <c r="G17" s="381"/>
      <c r="H17" s="381"/>
      <c r="I17" s="382"/>
      <c r="J17" s="382"/>
      <c r="K17" s="381"/>
      <c r="L17" s="381"/>
      <c r="M17" s="382"/>
      <c r="N17" s="382"/>
      <c r="O17" s="385"/>
      <c r="P17" s="386"/>
      <c r="Q17" s="386"/>
      <c r="R17" s="386"/>
      <c r="S17" s="386"/>
      <c r="T17" s="386"/>
      <c r="U17" s="386"/>
      <c r="V17" s="386"/>
      <c r="W17" s="386"/>
      <c r="X17" s="387"/>
    </row>
    <row r="18" spans="2:24">
      <c r="B18" s="54"/>
      <c r="C18" s="381"/>
      <c r="D18" s="381"/>
      <c r="E18" s="382"/>
      <c r="F18" s="382"/>
      <c r="G18" s="381"/>
      <c r="H18" s="381"/>
      <c r="I18" s="382"/>
      <c r="J18" s="382"/>
      <c r="K18" s="381"/>
      <c r="L18" s="381"/>
      <c r="M18" s="382"/>
      <c r="N18" s="382"/>
      <c r="O18" s="380"/>
      <c r="P18" s="380"/>
      <c r="Q18" s="380"/>
      <c r="R18" s="380"/>
      <c r="S18" s="380"/>
      <c r="T18" s="380"/>
      <c r="U18" s="380"/>
      <c r="V18" s="380"/>
      <c r="W18" s="380"/>
      <c r="X18" s="380"/>
    </row>
    <row r="19" spans="2:24">
      <c r="B19" s="54"/>
      <c r="C19" s="381"/>
      <c r="D19" s="381"/>
      <c r="E19" s="382"/>
      <c r="F19" s="382"/>
      <c r="G19" s="381"/>
      <c r="H19" s="381"/>
      <c r="I19" s="382"/>
      <c r="J19" s="382"/>
      <c r="K19" s="381"/>
      <c r="L19" s="381"/>
      <c r="M19" s="382"/>
      <c r="N19" s="382"/>
      <c r="O19" s="380"/>
      <c r="P19" s="380"/>
      <c r="Q19" s="380"/>
      <c r="R19" s="380"/>
      <c r="S19" s="380"/>
      <c r="T19" s="380"/>
      <c r="U19" s="380"/>
      <c r="V19" s="380"/>
      <c r="W19" s="380"/>
      <c r="X19" s="380"/>
    </row>
    <row r="20" spans="2:24">
      <c r="B20" s="54"/>
      <c r="C20" s="381"/>
      <c r="D20" s="381"/>
      <c r="E20" s="382"/>
      <c r="F20" s="382"/>
      <c r="G20" s="381"/>
      <c r="H20" s="381"/>
      <c r="I20" s="382"/>
      <c r="J20" s="382"/>
      <c r="K20" s="381"/>
      <c r="L20" s="381"/>
      <c r="M20" s="382"/>
      <c r="N20" s="382"/>
      <c r="O20" s="380"/>
      <c r="P20" s="380"/>
      <c r="Q20" s="380"/>
      <c r="R20" s="380"/>
      <c r="S20" s="380"/>
      <c r="T20" s="380"/>
      <c r="U20" s="380"/>
      <c r="V20" s="380"/>
      <c r="W20" s="380"/>
      <c r="X20" s="380"/>
    </row>
    <row r="21" spans="2:24">
      <c r="B21" s="54"/>
      <c r="C21" s="381"/>
      <c r="D21" s="381"/>
      <c r="E21" s="382"/>
      <c r="F21" s="382"/>
      <c r="G21" s="381"/>
      <c r="H21" s="381"/>
      <c r="I21" s="382"/>
      <c r="J21" s="382"/>
      <c r="K21" s="381"/>
      <c r="L21" s="381"/>
      <c r="M21" s="382"/>
      <c r="N21" s="382"/>
      <c r="O21" s="380"/>
      <c r="P21" s="380"/>
      <c r="Q21" s="380"/>
      <c r="R21" s="380"/>
      <c r="S21" s="380"/>
      <c r="T21" s="380"/>
      <c r="U21" s="380"/>
      <c r="V21" s="380"/>
      <c r="W21" s="380"/>
      <c r="X21" s="380"/>
    </row>
    <row r="22" spans="2:24">
      <c r="B22" s="54"/>
      <c r="C22" s="381"/>
      <c r="D22" s="381"/>
      <c r="E22" s="382"/>
      <c r="F22" s="382"/>
      <c r="G22" s="381"/>
      <c r="H22" s="381"/>
      <c r="I22" s="382"/>
      <c r="J22" s="382"/>
      <c r="K22" s="381"/>
      <c r="L22" s="381"/>
      <c r="M22" s="382"/>
      <c r="N22" s="382"/>
      <c r="O22" s="380"/>
      <c r="P22" s="380"/>
      <c r="Q22" s="380"/>
      <c r="R22" s="380"/>
      <c r="S22" s="380"/>
      <c r="T22" s="380"/>
      <c r="U22" s="380"/>
      <c r="V22" s="380"/>
      <c r="W22" s="380"/>
      <c r="X22" s="380"/>
    </row>
    <row r="23" spans="2:24">
      <c r="B23" s="54"/>
      <c r="C23" s="381"/>
      <c r="D23" s="381"/>
      <c r="E23" s="382"/>
      <c r="F23" s="382"/>
      <c r="G23" s="381"/>
      <c r="H23" s="381"/>
      <c r="I23" s="382"/>
      <c r="J23" s="382"/>
      <c r="K23" s="381"/>
      <c r="L23" s="381"/>
      <c r="M23" s="382"/>
      <c r="N23" s="382"/>
      <c r="O23" s="380"/>
      <c r="P23" s="380"/>
      <c r="Q23" s="380"/>
      <c r="R23" s="380"/>
      <c r="S23" s="380"/>
      <c r="T23" s="380"/>
      <c r="U23" s="380"/>
      <c r="V23" s="380"/>
      <c r="W23" s="380"/>
      <c r="X23" s="380"/>
    </row>
    <row r="24" spans="2:24">
      <c r="B24" s="54"/>
      <c r="C24" s="381"/>
      <c r="D24" s="381"/>
      <c r="E24" s="382"/>
      <c r="F24" s="382"/>
      <c r="G24" s="381"/>
      <c r="H24" s="381"/>
      <c r="I24" s="382"/>
      <c r="J24" s="382"/>
      <c r="K24" s="381"/>
      <c r="L24" s="381"/>
      <c r="M24" s="382"/>
      <c r="N24" s="382"/>
      <c r="O24" s="380"/>
      <c r="P24" s="380"/>
      <c r="Q24" s="380"/>
      <c r="R24" s="380"/>
      <c r="S24" s="380"/>
      <c r="T24" s="380"/>
      <c r="U24" s="380"/>
      <c r="V24" s="380"/>
      <c r="W24" s="380"/>
      <c r="X24" s="380"/>
    </row>
    <row r="25" spans="2:24">
      <c r="B25" s="54"/>
      <c r="C25" s="381"/>
      <c r="D25" s="381"/>
      <c r="E25" s="382"/>
      <c r="F25" s="382"/>
      <c r="G25" s="381"/>
      <c r="H25" s="381"/>
      <c r="I25" s="382"/>
      <c r="J25" s="382"/>
      <c r="K25" s="381"/>
      <c r="L25" s="381"/>
      <c r="M25" s="382"/>
      <c r="N25" s="382"/>
      <c r="O25" s="380"/>
      <c r="P25" s="380"/>
      <c r="Q25" s="380"/>
      <c r="R25" s="380"/>
      <c r="S25" s="380"/>
      <c r="T25" s="380"/>
      <c r="U25" s="380"/>
      <c r="V25" s="380"/>
      <c r="W25" s="380"/>
      <c r="X25" s="380"/>
    </row>
    <row r="26" spans="2:24">
      <c r="B26" s="54"/>
      <c r="C26" s="381"/>
      <c r="D26" s="381"/>
      <c r="E26" s="382"/>
      <c r="F26" s="382"/>
      <c r="G26" s="381"/>
      <c r="H26" s="381"/>
      <c r="I26" s="382"/>
      <c r="J26" s="382"/>
      <c r="K26" s="381"/>
      <c r="L26" s="381"/>
      <c r="M26" s="382"/>
      <c r="N26" s="382"/>
      <c r="O26" s="380"/>
      <c r="P26" s="380"/>
      <c r="Q26" s="380"/>
      <c r="R26" s="380"/>
      <c r="S26" s="380"/>
      <c r="T26" s="380"/>
      <c r="U26" s="380"/>
      <c r="V26" s="380"/>
      <c r="W26" s="380"/>
      <c r="X26" s="380"/>
    </row>
    <row r="27" spans="2:24">
      <c r="B27" s="54"/>
      <c r="C27" s="381"/>
      <c r="D27" s="381"/>
      <c r="E27" s="382"/>
      <c r="F27" s="382"/>
      <c r="G27" s="381"/>
      <c r="H27" s="381"/>
      <c r="I27" s="382"/>
      <c r="J27" s="382"/>
      <c r="K27" s="381"/>
      <c r="L27" s="381"/>
      <c r="M27" s="382"/>
      <c r="N27" s="382"/>
      <c r="O27" s="380"/>
      <c r="P27" s="380"/>
      <c r="Q27" s="380"/>
      <c r="R27" s="380"/>
      <c r="S27" s="380"/>
      <c r="T27" s="380"/>
      <c r="U27" s="380"/>
      <c r="V27" s="380"/>
      <c r="W27" s="380"/>
      <c r="X27" s="380"/>
    </row>
    <row r="28" spans="2:24">
      <c r="B28" s="54"/>
      <c r="C28" s="381"/>
      <c r="D28" s="381"/>
      <c r="E28" s="382"/>
      <c r="F28" s="382"/>
      <c r="G28" s="381"/>
      <c r="H28" s="381"/>
      <c r="I28" s="382"/>
      <c r="J28" s="382"/>
      <c r="K28" s="381"/>
      <c r="L28" s="381"/>
      <c r="M28" s="382"/>
      <c r="N28" s="382"/>
      <c r="O28" s="380"/>
      <c r="P28" s="380"/>
      <c r="Q28" s="380"/>
      <c r="R28" s="380"/>
      <c r="S28" s="380"/>
      <c r="T28" s="380"/>
      <c r="U28" s="380"/>
      <c r="V28" s="380"/>
      <c r="W28" s="380"/>
      <c r="X28" s="380"/>
    </row>
    <row r="29" spans="2:24">
      <c r="B29" s="54"/>
      <c r="C29" s="381"/>
      <c r="D29" s="381"/>
      <c r="E29" s="382"/>
      <c r="F29" s="382"/>
      <c r="G29" s="381"/>
      <c r="H29" s="381"/>
      <c r="I29" s="382"/>
      <c r="J29" s="382"/>
      <c r="K29" s="381"/>
      <c r="L29" s="381"/>
      <c r="M29" s="382"/>
      <c r="N29" s="382"/>
      <c r="O29" s="380"/>
      <c r="P29" s="380"/>
      <c r="Q29" s="380"/>
      <c r="R29" s="380"/>
      <c r="S29" s="380"/>
      <c r="T29" s="380"/>
      <c r="U29" s="380"/>
      <c r="V29" s="380"/>
      <c r="W29" s="380"/>
      <c r="X29" s="380"/>
    </row>
    <row r="30" spans="2:24">
      <c r="B30" s="54"/>
      <c r="C30" s="381"/>
      <c r="D30" s="381"/>
      <c r="E30" s="382"/>
      <c r="F30" s="382"/>
      <c r="G30" s="381"/>
      <c r="H30" s="381"/>
      <c r="I30" s="382"/>
      <c r="J30" s="382"/>
      <c r="K30" s="381"/>
      <c r="L30" s="381"/>
      <c r="M30" s="382"/>
      <c r="N30" s="382"/>
      <c r="O30" s="380"/>
      <c r="P30" s="380"/>
      <c r="Q30" s="380"/>
      <c r="R30" s="380"/>
      <c r="S30" s="380"/>
      <c r="T30" s="380"/>
      <c r="U30" s="380"/>
      <c r="V30" s="380"/>
      <c r="W30" s="380"/>
      <c r="X30" s="380"/>
    </row>
    <row r="31" spans="2:24">
      <c r="B31" s="54"/>
      <c r="C31" s="381"/>
      <c r="D31" s="381"/>
      <c r="E31" s="382"/>
      <c r="F31" s="382"/>
      <c r="G31" s="381"/>
      <c r="H31" s="381"/>
      <c r="I31" s="382"/>
      <c r="J31" s="382"/>
      <c r="K31" s="381"/>
      <c r="L31" s="381"/>
      <c r="M31" s="382"/>
      <c r="N31" s="382"/>
      <c r="O31" s="380"/>
      <c r="P31" s="380"/>
      <c r="Q31" s="380"/>
      <c r="R31" s="380"/>
      <c r="S31" s="380"/>
      <c r="T31" s="380"/>
      <c r="U31" s="380"/>
      <c r="V31" s="380"/>
      <c r="W31" s="380"/>
      <c r="X31" s="380"/>
    </row>
    <row r="32" spans="2:24">
      <c r="B32" s="54"/>
      <c r="C32" s="381"/>
      <c r="D32" s="381"/>
      <c r="E32" s="382"/>
      <c r="F32" s="382"/>
      <c r="G32" s="381"/>
      <c r="H32" s="381"/>
      <c r="I32" s="382"/>
      <c r="J32" s="382"/>
      <c r="K32" s="381"/>
      <c r="L32" s="381"/>
      <c r="M32" s="382"/>
      <c r="N32" s="382"/>
      <c r="O32" s="380"/>
      <c r="P32" s="380"/>
      <c r="Q32" s="380"/>
      <c r="R32" s="380"/>
      <c r="S32" s="380"/>
      <c r="T32" s="380"/>
      <c r="U32" s="380"/>
      <c r="V32" s="380"/>
      <c r="W32" s="380"/>
      <c r="X32" s="380"/>
    </row>
    <row r="33" spans="2:24">
      <c r="B33" s="54"/>
      <c r="C33" s="381"/>
      <c r="D33" s="381"/>
      <c r="E33" s="382"/>
      <c r="F33" s="382"/>
      <c r="G33" s="381"/>
      <c r="H33" s="381"/>
      <c r="I33" s="382"/>
      <c r="J33" s="382"/>
      <c r="K33" s="381"/>
      <c r="L33" s="381"/>
      <c r="M33" s="382"/>
      <c r="N33" s="382"/>
      <c r="O33" s="380"/>
      <c r="P33" s="380"/>
      <c r="Q33" s="380"/>
      <c r="R33" s="380"/>
      <c r="S33" s="380"/>
      <c r="T33" s="380"/>
      <c r="U33" s="380"/>
      <c r="V33" s="380"/>
      <c r="W33" s="380"/>
      <c r="X33" s="380"/>
    </row>
    <row r="34" spans="2:24">
      <c r="B34" s="54"/>
      <c r="C34" s="381"/>
      <c r="D34" s="381"/>
      <c r="E34" s="382"/>
      <c r="F34" s="382"/>
      <c r="G34" s="381"/>
      <c r="H34" s="381"/>
      <c r="I34" s="382"/>
      <c r="J34" s="382"/>
      <c r="K34" s="381"/>
      <c r="L34" s="381"/>
      <c r="M34" s="382"/>
      <c r="N34" s="382"/>
      <c r="O34" s="380"/>
      <c r="P34" s="380"/>
      <c r="Q34" s="380"/>
      <c r="R34" s="380"/>
      <c r="S34" s="380"/>
      <c r="T34" s="380"/>
      <c r="U34" s="380"/>
      <c r="V34" s="380"/>
      <c r="W34" s="380"/>
      <c r="X34" s="380"/>
    </row>
    <row r="35" spans="2:24">
      <c r="B35" s="54"/>
      <c r="C35" s="381"/>
      <c r="D35" s="381"/>
      <c r="E35" s="382"/>
      <c r="F35" s="382"/>
      <c r="G35" s="381"/>
      <c r="H35" s="381"/>
      <c r="I35" s="382"/>
      <c r="J35" s="382"/>
      <c r="K35" s="381"/>
      <c r="L35" s="381"/>
      <c r="M35" s="382"/>
      <c r="N35" s="382"/>
      <c r="O35" s="380"/>
      <c r="P35" s="380"/>
      <c r="Q35" s="380"/>
      <c r="R35" s="380"/>
      <c r="S35" s="380"/>
      <c r="T35" s="380"/>
      <c r="U35" s="380"/>
      <c r="V35" s="380"/>
      <c r="W35" s="380"/>
      <c r="X35" s="380"/>
    </row>
    <row r="36" spans="2:24">
      <c r="B36" s="54"/>
      <c r="C36" s="381"/>
      <c r="D36" s="381"/>
      <c r="E36" s="382"/>
      <c r="F36" s="382"/>
      <c r="G36" s="381"/>
      <c r="H36" s="381"/>
      <c r="I36" s="382"/>
      <c r="J36" s="382"/>
      <c r="K36" s="381"/>
      <c r="L36" s="381"/>
      <c r="M36" s="382"/>
      <c r="N36" s="382"/>
      <c r="O36" s="380"/>
      <c r="P36" s="380"/>
      <c r="Q36" s="380"/>
      <c r="R36" s="380"/>
      <c r="S36" s="380"/>
      <c r="T36" s="380"/>
      <c r="U36" s="380"/>
      <c r="V36" s="380"/>
      <c r="W36" s="380"/>
      <c r="X36" s="380"/>
    </row>
    <row r="37" spans="2:24">
      <c r="B37" s="54"/>
      <c r="C37" s="381"/>
      <c r="D37" s="381"/>
      <c r="E37" s="382"/>
      <c r="F37" s="382"/>
      <c r="G37" s="381"/>
      <c r="H37" s="381"/>
      <c r="I37" s="382"/>
      <c r="J37" s="382"/>
      <c r="K37" s="381"/>
      <c r="L37" s="381"/>
      <c r="M37" s="382"/>
      <c r="N37" s="382"/>
      <c r="O37" s="380"/>
      <c r="P37" s="380"/>
      <c r="Q37" s="380"/>
      <c r="R37" s="380"/>
      <c r="S37" s="380"/>
      <c r="T37" s="380"/>
      <c r="U37" s="380"/>
      <c r="V37" s="380"/>
      <c r="W37" s="380"/>
      <c r="X37" s="380"/>
    </row>
    <row r="38" spans="2:24">
      <c r="B38" s="54"/>
      <c r="C38" s="381"/>
      <c r="D38" s="381"/>
      <c r="E38" s="382"/>
      <c r="F38" s="382"/>
      <c r="G38" s="381"/>
      <c r="H38" s="381"/>
      <c r="I38" s="382"/>
      <c r="J38" s="382"/>
      <c r="K38" s="381"/>
      <c r="L38" s="381"/>
      <c r="M38" s="382"/>
      <c r="N38" s="382"/>
      <c r="O38" s="380"/>
      <c r="P38" s="380"/>
      <c r="Q38" s="380"/>
      <c r="R38" s="380"/>
      <c r="S38" s="380"/>
      <c r="T38" s="380"/>
      <c r="U38" s="380"/>
      <c r="V38" s="380"/>
      <c r="W38" s="380"/>
      <c r="X38" s="380"/>
    </row>
  </sheetData>
  <mergeCells count="240">
    <mergeCell ref="O38:X38"/>
    <mergeCell ref="C38:D38"/>
    <mergeCell ref="E38:F38"/>
    <mergeCell ref="G38:H38"/>
    <mergeCell ref="I38:J38"/>
    <mergeCell ref="K38:L38"/>
    <mergeCell ref="M38:N38"/>
    <mergeCell ref="O36:X36"/>
    <mergeCell ref="C37:D37"/>
    <mergeCell ref="E37:F37"/>
    <mergeCell ref="G37:H37"/>
    <mergeCell ref="I37:J37"/>
    <mergeCell ref="K37:L37"/>
    <mergeCell ref="M37:N37"/>
    <mergeCell ref="O37:X37"/>
    <mergeCell ref="C36:D36"/>
    <mergeCell ref="E36:F36"/>
    <mergeCell ref="G36:H36"/>
    <mergeCell ref="I36:J36"/>
    <mergeCell ref="K36:L36"/>
    <mergeCell ref="M36:N36"/>
    <mergeCell ref="O34:X34"/>
    <mergeCell ref="C35:D35"/>
    <mergeCell ref="E35:F35"/>
    <mergeCell ref="G35:H35"/>
    <mergeCell ref="I35:J35"/>
    <mergeCell ref="K35:L35"/>
    <mergeCell ref="M35:N35"/>
    <mergeCell ref="O35:X35"/>
    <mergeCell ref="C34:D34"/>
    <mergeCell ref="E34:F34"/>
    <mergeCell ref="G34:H34"/>
    <mergeCell ref="I34:J34"/>
    <mergeCell ref="K34:L34"/>
    <mergeCell ref="M34:N34"/>
    <mergeCell ref="O32:X32"/>
    <mergeCell ref="C33:D33"/>
    <mergeCell ref="E33:F33"/>
    <mergeCell ref="G33:H33"/>
    <mergeCell ref="I33:J33"/>
    <mergeCell ref="K33:L33"/>
    <mergeCell ref="M33:N33"/>
    <mergeCell ref="O33:X33"/>
    <mergeCell ref="C32:D32"/>
    <mergeCell ref="E32:F32"/>
    <mergeCell ref="G32:H32"/>
    <mergeCell ref="I32:J32"/>
    <mergeCell ref="K32:L32"/>
    <mergeCell ref="M32:N32"/>
    <mergeCell ref="O30:X30"/>
    <mergeCell ref="C31:D31"/>
    <mergeCell ref="E31:F31"/>
    <mergeCell ref="G31:H31"/>
    <mergeCell ref="I31:J31"/>
    <mergeCell ref="K31:L31"/>
    <mergeCell ref="M31:N31"/>
    <mergeCell ref="O31:X31"/>
    <mergeCell ref="C30:D30"/>
    <mergeCell ref="E30:F30"/>
    <mergeCell ref="G30:H30"/>
    <mergeCell ref="I30:J30"/>
    <mergeCell ref="K30:L30"/>
    <mergeCell ref="M30:N30"/>
    <mergeCell ref="O28:X28"/>
    <mergeCell ref="C29:D29"/>
    <mergeCell ref="E29:F29"/>
    <mergeCell ref="G29:H29"/>
    <mergeCell ref="I29:J29"/>
    <mergeCell ref="K29:L29"/>
    <mergeCell ref="M29:N29"/>
    <mergeCell ref="O29:X29"/>
    <mergeCell ref="C28:D28"/>
    <mergeCell ref="E28:F28"/>
    <mergeCell ref="G28:H28"/>
    <mergeCell ref="I28:J28"/>
    <mergeCell ref="K28:L28"/>
    <mergeCell ref="M28:N28"/>
    <mergeCell ref="O26:X26"/>
    <mergeCell ref="C27:D27"/>
    <mergeCell ref="E27:F27"/>
    <mergeCell ref="G27:H27"/>
    <mergeCell ref="I27:J27"/>
    <mergeCell ref="K27:L27"/>
    <mergeCell ref="M27:N27"/>
    <mergeCell ref="O27:X27"/>
    <mergeCell ref="C26:D26"/>
    <mergeCell ref="E26:F26"/>
    <mergeCell ref="G26:H26"/>
    <mergeCell ref="I26:J26"/>
    <mergeCell ref="K26:L26"/>
    <mergeCell ref="M26:N26"/>
    <mergeCell ref="O24:X24"/>
    <mergeCell ref="C25:D25"/>
    <mergeCell ref="E25:F25"/>
    <mergeCell ref="G25:H25"/>
    <mergeCell ref="I25:J25"/>
    <mergeCell ref="K25:L25"/>
    <mergeCell ref="M25:N25"/>
    <mergeCell ref="O25:X25"/>
    <mergeCell ref="C24:D24"/>
    <mergeCell ref="E24:F24"/>
    <mergeCell ref="G24:H24"/>
    <mergeCell ref="I24:J24"/>
    <mergeCell ref="K24:L24"/>
    <mergeCell ref="M24:N24"/>
    <mergeCell ref="O22:X22"/>
    <mergeCell ref="C23:D23"/>
    <mergeCell ref="E23:F23"/>
    <mergeCell ref="G23:H23"/>
    <mergeCell ref="I23:J23"/>
    <mergeCell ref="K23:L23"/>
    <mergeCell ref="M23:N23"/>
    <mergeCell ref="O23:X23"/>
    <mergeCell ref="C22:D22"/>
    <mergeCell ref="E22:F22"/>
    <mergeCell ref="G22:H22"/>
    <mergeCell ref="I22:J22"/>
    <mergeCell ref="K22:L22"/>
    <mergeCell ref="M22:N22"/>
    <mergeCell ref="O20:X20"/>
    <mergeCell ref="C21:D21"/>
    <mergeCell ref="E21:F21"/>
    <mergeCell ref="G21:H21"/>
    <mergeCell ref="I21:J21"/>
    <mergeCell ref="K21:L21"/>
    <mergeCell ref="M21:N21"/>
    <mergeCell ref="O21:X21"/>
    <mergeCell ref="C20:D20"/>
    <mergeCell ref="E20:F20"/>
    <mergeCell ref="G20:H20"/>
    <mergeCell ref="I20:J20"/>
    <mergeCell ref="K20:L20"/>
    <mergeCell ref="M20:N20"/>
    <mergeCell ref="O18:X18"/>
    <mergeCell ref="C19:D19"/>
    <mergeCell ref="E19:F19"/>
    <mergeCell ref="G19:H19"/>
    <mergeCell ref="I19:J19"/>
    <mergeCell ref="K19:L19"/>
    <mergeCell ref="M19:N19"/>
    <mergeCell ref="O19:X19"/>
    <mergeCell ref="C18:D18"/>
    <mergeCell ref="E18:F18"/>
    <mergeCell ref="G18:H18"/>
    <mergeCell ref="I18:J18"/>
    <mergeCell ref="K18:L18"/>
    <mergeCell ref="M18:N18"/>
    <mergeCell ref="O16:X16"/>
    <mergeCell ref="C17:D17"/>
    <mergeCell ref="E17:F17"/>
    <mergeCell ref="G17:H17"/>
    <mergeCell ref="I17:J17"/>
    <mergeCell ref="K17:L17"/>
    <mergeCell ref="M17:N17"/>
    <mergeCell ref="O17:X17"/>
    <mergeCell ref="C16:D16"/>
    <mergeCell ref="E16:F16"/>
    <mergeCell ref="G16:H16"/>
    <mergeCell ref="I16:J16"/>
    <mergeCell ref="K16:L16"/>
    <mergeCell ref="M16:N16"/>
    <mergeCell ref="O14:X14"/>
    <mergeCell ref="C15:D15"/>
    <mergeCell ref="E15:F15"/>
    <mergeCell ref="G15:H15"/>
    <mergeCell ref="I15:J15"/>
    <mergeCell ref="K15:L15"/>
    <mergeCell ref="M15:N15"/>
    <mergeCell ref="O15:X15"/>
    <mergeCell ref="C14:D14"/>
    <mergeCell ref="E14:F14"/>
    <mergeCell ref="G14:H14"/>
    <mergeCell ref="I14:J14"/>
    <mergeCell ref="K14:L14"/>
    <mergeCell ref="M14:N14"/>
    <mergeCell ref="O12:X12"/>
    <mergeCell ref="C13:D13"/>
    <mergeCell ref="E13:F13"/>
    <mergeCell ref="G13:H13"/>
    <mergeCell ref="I13:J13"/>
    <mergeCell ref="K13:L13"/>
    <mergeCell ref="M13:N13"/>
    <mergeCell ref="O13:X13"/>
    <mergeCell ref="C12:D12"/>
    <mergeCell ref="E12:F12"/>
    <mergeCell ref="G12:H12"/>
    <mergeCell ref="I12:J12"/>
    <mergeCell ref="K12:L12"/>
    <mergeCell ref="M12:N12"/>
    <mergeCell ref="O10:X10"/>
    <mergeCell ref="C11:D11"/>
    <mergeCell ref="E11:F11"/>
    <mergeCell ref="G11:H11"/>
    <mergeCell ref="I11:J11"/>
    <mergeCell ref="K11:L11"/>
    <mergeCell ref="M11:N11"/>
    <mergeCell ref="O11:X11"/>
    <mergeCell ref="C10:D10"/>
    <mergeCell ref="E10:F10"/>
    <mergeCell ref="G10:H10"/>
    <mergeCell ref="I10:J10"/>
    <mergeCell ref="K10:L10"/>
    <mergeCell ref="M10:N10"/>
    <mergeCell ref="O8:X8"/>
    <mergeCell ref="C9:D9"/>
    <mergeCell ref="E9:F9"/>
    <mergeCell ref="G9:H9"/>
    <mergeCell ref="I9:J9"/>
    <mergeCell ref="K9:L9"/>
    <mergeCell ref="M9:N9"/>
    <mergeCell ref="O9:X9"/>
    <mergeCell ref="C8:D8"/>
    <mergeCell ref="E8:F8"/>
    <mergeCell ref="G8:H8"/>
    <mergeCell ref="I8:J8"/>
    <mergeCell ref="K8:L8"/>
    <mergeCell ref="M8:N8"/>
    <mergeCell ref="B2:C2"/>
    <mergeCell ref="D2:G2"/>
    <mergeCell ref="H2:I2"/>
    <mergeCell ref="J2:K2"/>
    <mergeCell ref="B3:C3"/>
    <mergeCell ref="D3:G3"/>
    <mergeCell ref="H3:I3"/>
    <mergeCell ref="J3:K3"/>
    <mergeCell ref="O6:X7"/>
    <mergeCell ref="C7:D7"/>
    <mergeCell ref="E7:F7"/>
    <mergeCell ref="G7:H7"/>
    <mergeCell ref="I7:J7"/>
    <mergeCell ref="K7:L7"/>
    <mergeCell ref="M7:N7"/>
    <mergeCell ref="B4:C4"/>
    <mergeCell ref="D4:G4"/>
    <mergeCell ref="H4:I4"/>
    <mergeCell ref="J4:K4"/>
    <mergeCell ref="B6:B7"/>
    <mergeCell ref="C6:F6"/>
    <mergeCell ref="G6:J6"/>
    <mergeCell ref="K6:N6"/>
  </mergeCells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O90"/>
  <sheetViews>
    <sheetView showGridLines="0" tabSelected="1" view="pageBreakPreview" zoomScale="70" zoomScaleNormal="70" zoomScaleSheetLayoutView="70" workbookViewId="0">
      <selection activeCell="AZ5" sqref="AZ5"/>
    </sheetView>
  </sheetViews>
  <sheetFormatPr defaultColWidth="2.6328125" defaultRowHeight="12.75" customHeight="1"/>
  <cols>
    <col min="18" max="18" width="2.6328125" customWidth="1"/>
    <col min="30" max="30" width="2.6328125" customWidth="1"/>
    <col min="67" max="67" width="11.453125" bestFit="1" customWidth="1"/>
  </cols>
  <sheetData>
    <row r="1" spans="1:67" s="1" customFormat="1" ht="13.5" customHeight="1">
      <c r="A1" s="390" t="s">
        <v>21</v>
      </c>
      <c r="B1" s="391"/>
      <c r="C1" s="391"/>
      <c r="D1" s="391"/>
      <c r="E1" s="391"/>
      <c r="F1" s="392"/>
      <c r="G1" s="186" t="s">
        <v>22</v>
      </c>
      <c r="H1" s="81"/>
      <c r="I1" s="81"/>
      <c r="J1" s="81"/>
      <c r="K1" s="81"/>
      <c r="L1" s="81"/>
      <c r="M1" s="82"/>
      <c r="N1" s="83" t="s">
        <v>23</v>
      </c>
      <c r="O1" s="84"/>
      <c r="P1" s="84"/>
      <c r="Q1" s="85"/>
      <c r="R1" s="186" t="s">
        <v>299</v>
      </c>
      <c r="S1" s="86"/>
      <c r="T1" s="86"/>
      <c r="U1" s="86"/>
      <c r="V1" s="86"/>
      <c r="W1" s="86"/>
      <c r="X1" s="86"/>
      <c r="Y1" s="86"/>
      <c r="Z1" s="83" t="s">
        <v>24</v>
      </c>
      <c r="AA1" s="84"/>
      <c r="AB1" s="84"/>
      <c r="AC1" s="84"/>
      <c r="AD1" s="450" t="s">
        <v>516</v>
      </c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8"/>
      <c r="AR1" s="448"/>
      <c r="AS1" s="448"/>
      <c r="AT1" s="448"/>
      <c r="AU1" s="448"/>
      <c r="AV1" s="449"/>
      <c r="AW1" s="403" t="s">
        <v>25</v>
      </c>
      <c r="AX1" s="404"/>
      <c r="AY1" s="405"/>
      <c r="AZ1" s="186" t="s">
        <v>128</v>
      </c>
      <c r="BA1" s="86"/>
      <c r="BB1" s="86"/>
      <c r="BC1" s="87"/>
      <c r="BD1" s="88"/>
      <c r="BE1" s="403" t="s">
        <v>26</v>
      </c>
      <c r="BF1" s="404"/>
      <c r="BG1" s="405"/>
      <c r="BH1" s="406">
        <v>45397</v>
      </c>
      <c r="BI1" s="407"/>
      <c r="BJ1" s="407"/>
      <c r="BK1" s="408"/>
      <c r="BL1" s="409"/>
      <c r="BM1" s="410"/>
      <c r="BN1" s="411"/>
    </row>
    <row r="2" spans="1:67" s="1" customFormat="1" ht="13.5" customHeight="1">
      <c r="A2" s="393"/>
      <c r="B2" s="394"/>
      <c r="C2" s="394"/>
      <c r="D2" s="394"/>
      <c r="E2" s="394"/>
      <c r="F2" s="395"/>
      <c r="G2" s="187" t="s">
        <v>27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250" t="s">
        <v>297</v>
      </c>
      <c r="S2" s="225"/>
      <c r="T2" s="225"/>
      <c r="U2" s="225"/>
      <c r="V2" s="225"/>
      <c r="W2" s="225"/>
      <c r="X2" s="225"/>
      <c r="Y2" s="225"/>
      <c r="Z2" s="10" t="s">
        <v>29</v>
      </c>
      <c r="AA2" s="4"/>
      <c r="AB2" s="4"/>
      <c r="AC2" s="4"/>
      <c r="AD2" s="250" t="s">
        <v>291</v>
      </c>
      <c r="AE2" s="251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415" t="s">
        <v>30</v>
      </c>
      <c r="AX2" s="416"/>
      <c r="AY2" s="417"/>
      <c r="AZ2" s="105" t="s">
        <v>307</v>
      </c>
      <c r="BA2" s="18"/>
      <c r="BB2" s="18"/>
      <c r="BC2" s="87"/>
      <c r="BD2" s="88"/>
      <c r="BE2" s="415" t="s">
        <v>31</v>
      </c>
      <c r="BF2" s="416"/>
      <c r="BG2" s="417"/>
      <c r="BH2" s="418">
        <v>45409</v>
      </c>
      <c r="BI2" s="419"/>
      <c r="BJ2" s="419"/>
      <c r="BK2" s="420"/>
      <c r="BL2" s="412"/>
      <c r="BM2" s="413"/>
      <c r="BN2" s="414"/>
    </row>
    <row r="3" spans="1:67" s="2" customFormat="1" ht="13.5" customHeight="1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</row>
    <row r="4" spans="1:67" s="2" customFormat="1" ht="13.5" customHeight="1">
      <c r="B4" s="8" t="s">
        <v>32</v>
      </c>
      <c r="C4" s="246"/>
      <c r="D4" s="247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7"/>
      <c r="AZ4" s="177"/>
      <c r="BO4" s="176" t="s">
        <v>248</v>
      </c>
    </row>
    <row r="5" spans="1:67" s="2" customFormat="1" ht="13.5" customHeight="1">
      <c r="B5" s="8"/>
      <c r="C5" s="246"/>
      <c r="D5" s="247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</row>
    <row r="6" spans="1:67" ht="13">
      <c r="B6" s="248"/>
      <c r="C6" s="249" t="s">
        <v>308</v>
      </c>
      <c r="D6" s="248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</row>
    <row r="7" spans="1:67" ht="13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</row>
    <row r="8" spans="1:67" ht="13">
      <c r="B8" s="106"/>
      <c r="C8" s="238" t="s">
        <v>33</v>
      </c>
      <c r="D8" s="239"/>
      <c r="E8" s="239"/>
      <c r="F8" s="240"/>
      <c r="G8" s="240"/>
      <c r="H8" s="240"/>
      <c r="I8" s="240"/>
      <c r="J8" s="240"/>
      <c r="K8" s="241" t="s">
        <v>303</v>
      </c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38" t="s">
        <v>34</v>
      </c>
      <c r="X8" s="240"/>
      <c r="Y8" s="240"/>
      <c r="Z8" s="239"/>
      <c r="AA8" s="240"/>
      <c r="AB8" s="240"/>
      <c r="AC8" s="240"/>
      <c r="AD8" s="239"/>
      <c r="AE8" s="241" t="s">
        <v>306</v>
      </c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3"/>
      <c r="AQ8" s="238" t="s">
        <v>35</v>
      </c>
      <c r="AR8" s="239"/>
      <c r="AS8" s="240"/>
      <c r="AT8" s="240"/>
      <c r="AU8" s="239"/>
      <c r="AV8" s="244"/>
      <c r="AW8" s="241" t="s">
        <v>36</v>
      </c>
      <c r="AX8" s="242"/>
      <c r="AY8" s="245"/>
      <c r="AZ8" s="242"/>
      <c r="BA8" s="245"/>
      <c r="BB8" s="245"/>
      <c r="BC8" s="245"/>
      <c r="BD8" s="245"/>
      <c r="BE8" s="245"/>
      <c r="BF8" s="245"/>
      <c r="BG8" s="245"/>
      <c r="BH8" s="245"/>
      <c r="BI8" s="245"/>
      <c r="BJ8" s="245"/>
      <c r="BK8" s="245"/>
      <c r="BL8" s="245"/>
      <c r="BM8" s="89"/>
      <c r="BO8" s="106" t="s">
        <v>311</v>
      </c>
    </row>
    <row r="9" spans="1:67" ht="13">
      <c r="A9" s="248"/>
      <c r="B9" s="248"/>
      <c r="C9" s="253" t="s">
        <v>37</v>
      </c>
      <c r="D9" s="254"/>
      <c r="E9" s="254"/>
      <c r="F9" s="254"/>
      <c r="G9" s="254"/>
      <c r="H9" s="254"/>
      <c r="I9" s="254"/>
      <c r="J9" s="255"/>
      <c r="K9" s="226" t="s">
        <v>294</v>
      </c>
      <c r="L9" s="227"/>
      <c r="M9" s="227"/>
      <c r="N9" s="227"/>
      <c r="O9" s="227"/>
      <c r="P9" s="227"/>
      <c r="Q9" s="227"/>
      <c r="R9" s="227"/>
      <c r="S9" s="227"/>
      <c r="T9" s="228"/>
      <c r="U9" s="227"/>
      <c r="V9" s="227"/>
      <c r="W9" s="227"/>
      <c r="X9" s="228"/>
      <c r="Y9" s="227"/>
      <c r="Z9" s="227"/>
      <c r="AA9" s="227"/>
      <c r="AB9" s="227"/>
      <c r="AC9" s="227"/>
      <c r="AD9" s="227"/>
      <c r="AE9" s="227"/>
      <c r="AF9" s="178"/>
      <c r="AG9" s="178"/>
      <c r="AH9" s="179"/>
      <c r="AI9" s="178"/>
      <c r="AJ9" s="178"/>
      <c r="AK9" s="179"/>
      <c r="AL9" s="179"/>
      <c r="AM9" s="178"/>
      <c r="AN9" s="178"/>
      <c r="AO9" s="179"/>
      <c r="AP9" s="178"/>
      <c r="AQ9" s="178"/>
      <c r="AR9" s="178"/>
      <c r="AS9" s="179"/>
      <c r="AT9" s="179"/>
      <c r="AU9" s="179"/>
      <c r="AV9" s="179"/>
      <c r="AW9" s="179"/>
      <c r="AX9" s="179"/>
      <c r="AY9" s="179"/>
      <c r="AZ9" s="17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70"/>
    </row>
    <row r="10" spans="1:67" ht="13">
      <c r="A10" s="248"/>
      <c r="B10" s="248"/>
      <c r="C10" s="256"/>
      <c r="D10" s="257" t="s">
        <v>38</v>
      </c>
      <c r="E10" s="258"/>
      <c r="F10" s="258"/>
      <c r="G10" s="258"/>
      <c r="H10" s="258"/>
      <c r="I10" s="259"/>
      <c r="J10" s="260"/>
      <c r="K10" s="229" t="s">
        <v>304</v>
      </c>
      <c r="L10" s="230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2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1"/>
      <c r="AT10" s="180"/>
      <c r="AU10" s="180"/>
      <c r="AV10" s="180"/>
      <c r="AW10" s="180"/>
      <c r="AX10" s="180"/>
      <c r="AY10" s="180"/>
      <c r="AZ10" s="180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2"/>
    </row>
    <row r="11" spans="1:67" ht="13">
      <c r="A11" s="248"/>
      <c r="B11" s="248"/>
      <c r="C11" s="256"/>
      <c r="D11" s="261" t="s">
        <v>39</v>
      </c>
      <c r="E11" s="262"/>
      <c r="F11" s="263"/>
      <c r="G11" s="263"/>
      <c r="H11" s="263"/>
      <c r="I11" s="263"/>
      <c r="J11" s="264"/>
      <c r="K11" s="229" t="s">
        <v>309</v>
      </c>
      <c r="L11" s="252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4"/>
    </row>
    <row r="12" spans="1:67" ht="13">
      <c r="A12" s="248"/>
      <c r="B12" s="248"/>
      <c r="C12" s="256"/>
      <c r="D12" s="261" t="s">
        <v>40</v>
      </c>
      <c r="E12" s="262"/>
      <c r="F12" s="263"/>
      <c r="G12" s="263"/>
      <c r="H12" s="263"/>
      <c r="I12" s="263"/>
      <c r="J12" s="264"/>
      <c r="K12" s="275" t="s">
        <v>305</v>
      </c>
      <c r="L12" s="233"/>
      <c r="M12" s="234"/>
      <c r="N12" s="234"/>
      <c r="O12" s="234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4"/>
    </row>
    <row r="13" spans="1:67" ht="13">
      <c r="A13" s="248"/>
      <c r="B13" s="248"/>
      <c r="C13" s="265"/>
      <c r="D13" s="266" t="s">
        <v>41</v>
      </c>
      <c r="E13" s="267"/>
      <c r="F13" s="267"/>
      <c r="G13" s="267"/>
      <c r="H13" s="267"/>
      <c r="I13" s="268"/>
      <c r="J13" s="269"/>
      <c r="K13" s="236" t="s">
        <v>293</v>
      </c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183"/>
      <c r="AL13" s="183"/>
      <c r="AM13" s="183"/>
      <c r="AN13" s="183"/>
      <c r="AO13" s="183"/>
      <c r="AP13" s="183"/>
      <c r="AQ13" s="183"/>
      <c r="AR13" s="183"/>
      <c r="AS13" s="184"/>
      <c r="AT13" s="183"/>
      <c r="AU13" s="183"/>
      <c r="AV13" s="183"/>
      <c r="AW13" s="183"/>
      <c r="AX13" s="183"/>
      <c r="AY13" s="183"/>
      <c r="AZ13" s="183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2"/>
    </row>
    <row r="14" spans="1:67" ht="13">
      <c r="A14" s="248" t="s">
        <v>42</v>
      </c>
      <c r="B14" s="248"/>
      <c r="C14" s="270" t="s">
        <v>43</v>
      </c>
      <c r="D14" s="271"/>
      <c r="E14" s="272"/>
      <c r="F14" s="273"/>
      <c r="G14" s="273"/>
      <c r="H14" s="273"/>
      <c r="I14" s="273"/>
      <c r="J14" s="274"/>
      <c r="K14" s="279" t="s">
        <v>312</v>
      </c>
      <c r="L14" s="280"/>
      <c r="M14" s="280"/>
      <c r="N14" s="280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2"/>
    </row>
    <row r="15" spans="1:67" s="106" customFormat="1" ht="13">
      <c r="A15" s="106" t="s">
        <v>42</v>
      </c>
      <c r="C15" s="107" t="s">
        <v>88</v>
      </c>
      <c r="D15" s="108"/>
      <c r="E15" s="109"/>
      <c r="F15" s="110"/>
      <c r="G15" s="110"/>
      <c r="H15" s="110"/>
      <c r="I15" s="110"/>
      <c r="J15" s="111"/>
      <c r="K15" s="342" t="s">
        <v>512</v>
      </c>
      <c r="L15" s="280"/>
      <c r="M15" s="280"/>
      <c r="N15" s="280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3"/>
    </row>
    <row r="16" spans="1:67" ht="12.75" customHeight="1"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</row>
    <row r="17" spans="2:67" ht="12.75" customHeight="1">
      <c r="B17" s="9" t="s">
        <v>89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O17" s="106"/>
    </row>
    <row r="27" spans="2:67" ht="12.75" customHeight="1">
      <c r="B27" s="248"/>
      <c r="C27" s="248" t="s">
        <v>295</v>
      </c>
    </row>
    <row r="28" spans="2:67" ht="12.75" customHeight="1">
      <c r="B28" s="248"/>
      <c r="C28" s="248"/>
    </row>
    <row r="29" spans="2:67" ht="12.75" customHeight="1">
      <c r="B29" s="248"/>
      <c r="C29" s="276" t="s">
        <v>90</v>
      </c>
      <c r="D29" s="248"/>
      <c r="BO29" s="106" t="s">
        <v>249</v>
      </c>
    </row>
    <row r="30" spans="2:67" ht="12.75" customHeight="1">
      <c r="B30" s="248"/>
      <c r="C30" s="248"/>
    </row>
    <row r="69" spans="3:67" ht="12.75" customHeight="1">
      <c r="C69" s="396" t="s">
        <v>91</v>
      </c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  <c r="Q69" s="397"/>
      <c r="R69" s="397"/>
      <c r="S69" s="397"/>
      <c r="T69" s="397"/>
      <c r="U69" s="397"/>
      <c r="V69" s="397"/>
      <c r="W69" s="397"/>
      <c r="X69" s="397"/>
      <c r="Y69" s="397"/>
      <c r="Z69" s="397"/>
      <c r="AA69" s="397"/>
      <c r="AB69" s="397"/>
      <c r="AC69" s="397"/>
      <c r="AD69" s="397"/>
      <c r="AE69" s="397"/>
      <c r="AF69" s="397"/>
      <c r="AG69" s="397"/>
      <c r="AH69" s="397"/>
      <c r="AI69" s="397"/>
      <c r="AJ69" s="397"/>
      <c r="AK69" s="397"/>
      <c r="AL69" s="397"/>
      <c r="AM69" s="397"/>
      <c r="AN69" s="397"/>
      <c r="AO69" s="398"/>
      <c r="AP69" s="281" t="s">
        <v>108</v>
      </c>
      <c r="AQ69" s="239"/>
      <c r="AR69" s="239"/>
      <c r="AS69" s="239"/>
      <c r="AT69" s="239"/>
      <c r="AU69" s="239"/>
      <c r="AV69" s="239"/>
      <c r="AW69" s="239"/>
      <c r="AX69" s="239"/>
      <c r="AY69" s="239"/>
      <c r="AZ69" s="281" t="s">
        <v>109</v>
      </c>
      <c r="BA69" s="239"/>
      <c r="BB69" s="239"/>
      <c r="BC69" s="239"/>
      <c r="BD69" s="239"/>
      <c r="BE69" s="239"/>
      <c r="BF69" s="239"/>
      <c r="BG69" s="239"/>
      <c r="BH69" s="244"/>
      <c r="BI69" s="282" t="s">
        <v>92</v>
      </c>
      <c r="BJ69" s="282" t="s">
        <v>93</v>
      </c>
      <c r="BK69" s="282" t="s">
        <v>94</v>
      </c>
      <c r="BL69" s="283" t="s">
        <v>95</v>
      </c>
      <c r="BM69" s="249"/>
      <c r="BN69" s="249"/>
      <c r="BO69" s="106" t="s">
        <v>311</v>
      </c>
    </row>
    <row r="70" spans="3:67" ht="12.75" customHeight="1">
      <c r="C70" s="284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6"/>
      <c r="AP70" s="117" t="s">
        <v>313</v>
      </c>
      <c r="AQ70" s="118"/>
      <c r="AR70" s="118"/>
      <c r="AS70" s="118"/>
      <c r="AT70" s="118"/>
      <c r="AU70" s="118"/>
      <c r="AV70" s="118"/>
      <c r="AW70" s="118"/>
      <c r="AX70" s="118"/>
      <c r="AY70" s="118"/>
      <c r="AZ70" s="117" t="s">
        <v>314</v>
      </c>
      <c r="BA70" s="118"/>
      <c r="BB70" s="118"/>
      <c r="BC70" s="118"/>
      <c r="BD70" s="118"/>
      <c r="BE70" s="118"/>
      <c r="BF70" s="118"/>
      <c r="BG70" s="118"/>
      <c r="BH70" s="119"/>
      <c r="BI70" s="120"/>
      <c r="BJ70" s="120" t="s">
        <v>315</v>
      </c>
      <c r="BK70" s="120"/>
      <c r="BL70" s="121"/>
    </row>
    <row r="71" spans="3:67" ht="12.75" customHeight="1">
      <c r="C71" s="277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  <c r="AK71" s="278"/>
      <c r="AL71" s="278"/>
      <c r="AM71" s="278"/>
      <c r="AN71" s="278"/>
      <c r="AO71" s="122"/>
      <c r="AP71" s="123" t="s">
        <v>316</v>
      </c>
      <c r="AQ71" s="124"/>
      <c r="AR71" s="124"/>
      <c r="AS71" s="124"/>
      <c r="AT71" s="124"/>
      <c r="AU71" s="124"/>
      <c r="AV71" s="124"/>
      <c r="AW71" s="124"/>
      <c r="AX71" s="124"/>
      <c r="AY71" s="124"/>
      <c r="AZ71" s="123" t="s">
        <v>317</v>
      </c>
      <c r="BA71" s="124"/>
      <c r="BB71" s="124"/>
      <c r="BC71" s="125"/>
      <c r="BD71" s="125"/>
      <c r="BE71" s="125"/>
      <c r="BF71" s="125"/>
      <c r="BG71" s="125"/>
      <c r="BH71" s="126"/>
      <c r="BI71" s="127"/>
      <c r="BJ71" s="127" t="s">
        <v>318</v>
      </c>
      <c r="BK71" s="127"/>
      <c r="BL71" s="128"/>
    </row>
    <row r="72" spans="3:67" ht="12.75" customHeight="1">
      <c r="C72" s="277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  <c r="AK72" s="278"/>
      <c r="AL72" s="278"/>
      <c r="AM72" s="278"/>
      <c r="AN72" s="278"/>
      <c r="AO72" s="122"/>
      <c r="AP72" s="129" t="s">
        <v>319</v>
      </c>
      <c r="AQ72" s="125"/>
      <c r="AR72" s="125"/>
      <c r="AS72" s="125"/>
      <c r="AT72" s="125"/>
      <c r="AU72" s="125"/>
      <c r="AV72" s="125"/>
      <c r="AW72" s="125"/>
      <c r="AX72" s="125"/>
      <c r="AY72" s="125"/>
      <c r="AZ72" s="129" t="s">
        <v>320</v>
      </c>
      <c r="BA72" s="125"/>
      <c r="BB72" s="125"/>
      <c r="BC72" s="125"/>
      <c r="BD72" s="125"/>
      <c r="BE72" s="125"/>
      <c r="BF72" s="125"/>
      <c r="BG72" s="125"/>
      <c r="BH72" s="126"/>
      <c r="BI72" s="127"/>
      <c r="BJ72" s="127" t="s">
        <v>318</v>
      </c>
      <c r="BK72" s="127"/>
      <c r="BL72" s="128"/>
    </row>
    <row r="73" spans="3:67" ht="12.75" customHeight="1">
      <c r="C73" s="277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  <c r="AK73" s="278"/>
      <c r="AL73" s="278"/>
      <c r="AM73" s="278"/>
      <c r="AN73" s="278"/>
      <c r="AO73" s="122"/>
      <c r="AP73" s="129" t="s">
        <v>321</v>
      </c>
      <c r="AQ73" s="125"/>
      <c r="AR73" s="125"/>
      <c r="AS73" s="125"/>
      <c r="AT73" s="125"/>
      <c r="AU73" s="125"/>
      <c r="AV73" s="125"/>
      <c r="AW73" s="125"/>
      <c r="AX73" s="125"/>
      <c r="AY73" s="125"/>
      <c r="AZ73" s="129" t="s">
        <v>322</v>
      </c>
      <c r="BA73" s="125"/>
      <c r="BB73" s="125"/>
      <c r="BC73" s="125"/>
      <c r="BD73" s="125"/>
      <c r="BE73" s="125"/>
      <c r="BF73" s="125"/>
      <c r="BG73" s="125"/>
      <c r="BH73" s="126"/>
      <c r="BI73" s="127"/>
      <c r="BJ73" s="127" t="s">
        <v>318</v>
      </c>
      <c r="BK73" s="130"/>
      <c r="BL73" s="131"/>
    </row>
    <row r="74" spans="3:67" ht="12.75" customHeight="1">
      <c r="C74" s="399"/>
      <c r="D74" s="400"/>
      <c r="E74" s="400"/>
      <c r="F74" s="132"/>
      <c r="G74" s="133"/>
      <c r="H74" s="133"/>
      <c r="I74" s="133"/>
      <c r="J74" s="133"/>
      <c r="K74" s="133"/>
      <c r="L74" s="134"/>
      <c r="M74" s="132"/>
      <c r="N74" s="132"/>
      <c r="O74" s="132"/>
      <c r="P74" s="132"/>
      <c r="Q74" s="132"/>
      <c r="R74" s="132"/>
      <c r="S74" s="132"/>
      <c r="T74" s="133"/>
      <c r="U74" s="133"/>
      <c r="V74" s="133"/>
      <c r="W74" s="133"/>
      <c r="X74" s="133"/>
      <c r="Y74" s="134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5"/>
      <c r="AP74" s="136" t="s">
        <v>323</v>
      </c>
      <c r="AQ74" s="137"/>
      <c r="AR74" s="137"/>
      <c r="AS74" s="137"/>
      <c r="AT74" s="137"/>
      <c r="AU74" s="137"/>
      <c r="AV74" s="137"/>
      <c r="AW74" s="137"/>
      <c r="AX74" s="137"/>
      <c r="AY74" s="137"/>
      <c r="AZ74" s="136" t="s">
        <v>324</v>
      </c>
      <c r="BA74" s="137"/>
      <c r="BB74" s="137"/>
      <c r="BC74" s="137"/>
      <c r="BD74" s="137"/>
      <c r="BE74" s="137"/>
      <c r="BF74" s="137"/>
      <c r="BG74" s="137"/>
      <c r="BH74" s="131"/>
      <c r="BI74" s="130"/>
      <c r="BJ74" s="127" t="s">
        <v>318</v>
      </c>
      <c r="BK74" s="127"/>
      <c r="BL74" s="131"/>
    </row>
    <row r="75" spans="3:67" ht="12.75" customHeight="1">
      <c r="C75" s="399"/>
      <c r="D75" s="400"/>
      <c r="E75" s="400"/>
      <c r="F75" s="132"/>
      <c r="G75" s="133"/>
      <c r="H75" s="133"/>
      <c r="I75" s="133"/>
      <c r="J75" s="133"/>
      <c r="K75" s="133"/>
      <c r="L75" s="134"/>
      <c r="M75" s="132"/>
      <c r="N75" s="132"/>
      <c r="O75" s="132"/>
      <c r="P75" s="132"/>
      <c r="Q75" s="132"/>
      <c r="R75" s="132"/>
      <c r="S75" s="132"/>
      <c r="T75" s="133"/>
      <c r="U75" s="133"/>
      <c r="V75" s="133"/>
      <c r="W75" s="133"/>
      <c r="X75" s="133"/>
      <c r="Y75" s="134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5"/>
      <c r="AP75" s="129" t="s">
        <v>325</v>
      </c>
      <c r="AQ75" s="125"/>
      <c r="AR75" s="125"/>
      <c r="AS75" s="125"/>
      <c r="AT75" s="125"/>
      <c r="AU75" s="125"/>
      <c r="AV75" s="125"/>
      <c r="AW75" s="125"/>
      <c r="AX75" s="125"/>
      <c r="AY75" s="125"/>
      <c r="AZ75" s="129" t="s">
        <v>326</v>
      </c>
      <c r="BA75" s="125"/>
      <c r="BB75" s="125"/>
      <c r="BC75" s="125"/>
      <c r="BD75" s="125"/>
      <c r="BE75" s="125"/>
      <c r="BF75" s="125"/>
      <c r="BG75" s="125"/>
      <c r="BH75" s="126"/>
      <c r="BI75" s="127"/>
      <c r="BJ75" s="127" t="s">
        <v>318</v>
      </c>
      <c r="BK75" s="130"/>
      <c r="BL75" s="139"/>
    </row>
    <row r="76" spans="3:67" ht="12.75" customHeight="1">
      <c r="C76" s="277"/>
      <c r="D76" s="278"/>
      <c r="E76" s="278"/>
      <c r="F76" s="132"/>
      <c r="G76" s="133"/>
      <c r="H76" s="133"/>
      <c r="I76" s="133"/>
      <c r="J76" s="133"/>
      <c r="K76" s="133"/>
      <c r="L76" s="134"/>
      <c r="M76" s="132"/>
      <c r="N76" s="132"/>
      <c r="O76" s="132"/>
      <c r="P76" s="132"/>
      <c r="Q76" s="132"/>
      <c r="R76" s="132"/>
      <c r="S76" s="132"/>
      <c r="T76" s="133"/>
      <c r="V76" s="133"/>
      <c r="W76" s="133"/>
      <c r="X76" s="133"/>
      <c r="Y76" s="134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5"/>
      <c r="AP76" s="136" t="s">
        <v>327</v>
      </c>
      <c r="AQ76" s="137"/>
      <c r="AR76" s="137"/>
      <c r="AS76" s="137"/>
      <c r="AT76" s="137"/>
      <c r="AU76" s="137"/>
      <c r="AV76" s="137"/>
      <c r="AW76" s="137"/>
      <c r="AX76" s="137"/>
      <c r="AY76" s="137"/>
      <c r="AZ76" s="136" t="s">
        <v>328</v>
      </c>
      <c r="BA76" s="137"/>
      <c r="BB76" s="137"/>
      <c r="BC76" s="137"/>
      <c r="BD76" s="137"/>
      <c r="BE76" s="137"/>
      <c r="BF76" s="137"/>
      <c r="BG76" s="137"/>
      <c r="BH76" s="131"/>
      <c r="BI76" s="130"/>
      <c r="BJ76" s="127" t="s">
        <v>318</v>
      </c>
      <c r="BK76" s="130"/>
      <c r="BL76" s="139"/>
    </row>
    <row r="77" spans="3:67" ht="12.75" customHeight="1">
      <c r="C77" s="277"/>
      <c r="D77" s="278"/>
      <c r="E77" s="278"/>
      <c r="F77" s="132"/>
      <c r="G77" s="133"/>
      <c r="H77" s="133"/>
      <c r="I77" s="133"/>
      <c r="J77" s="133"/>
      <c r="K77" s="133"/>
      <c r="L77" s="134"/>
      <c r="M77" s="132"/>
      <c r="N77" s="132"/>
      <c r="O77" s="132"/>
      <c r="P77" s="132"/>
      <c r="Q77" s="132"/>
      <c r="R77" s="132"/>
      <c r="S77" s="132"/>
      <c r="T77" s="133"/>
      <c r="U77" s="133"/>
      <c r="V77" s="133"/>
      <c r="W77" s="133"/>
      <c r="X77" s="133"/>
      <c r="Y77" s="134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5"/>
      <c r="AP77" s="136" t="s">
        <v>329</v>
      </c>
      <c r="AQ77" s="137"/>
      <c r="AR77" s="137"/>
      <c r="AS77" s="137"/>
      <c r="AT77" s="137"/>
      <c r="AU77" s="137"/>
      <c r="AV77" s="137"/>
      <c r="AW77" s="137"/>
      <c r="AX77" s="137"/>
      <c r="AY77" s="137"/>
      <c r="AZ77" s="136" t="s">
        <v>330</v>
      </c>
      <c r="BA77" s="137"/>
      <c r="BB77" s="137"/>
      <c r="BC77" s="137"/>
      <c r="BD77" s="137"/>
      <c r="BE77" s="137"/>
      <c r="BF77" s="137"/>
      <c r="BG77" s="137"/>
      <c r="BH77" s="131"/>
      <c r="BI77" s="130"/>
      <c r="BJ77" s="127" t="s">
        <v>318</v>
      </c>
      <c r="BK77" s="138"/>
      <c r="BL77" s="139"/>
    </row>
    <row r="78" spans="3:67" ht="12.75" customHeight="1">
      <c r="C78" s="277"/>
      <c r="D78" s="278"/>
      <c r="E78" s="278"/>
      <c r="F78" s="132"/>
      <c r="G78" s="133"/>
      <c r="H78" s="133"/>
      <c r="I78" s="133"/>
      <c r="J78" s="133"/>
      <c r="K78" s="133"/>
      <c r="L78" s="134"/>
      <c r="M78" s="132"/>
      <c r="N78" s="132"/>
      <c r="O78" s="132"/>
      <c r="P78" s="132"/>
      <c r="Q78" s="132"/>
      <c r="R78" s="132"/>
      <c r="S78" s="132"/>
      <c r="T78" s="133"/>
      <c r="U78" s="278"/>
      <c r="V78" s="133" t="s">
        <v>96</v>
      </c>
      <c r="W78" s="133"/>
      <c r="X78" s="133"/>
      <c r="Y78" s="134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5"/>
      <c r="AP78" s="136" t="s">
        <v>331</v>
      </c>
      <c r="AQ78" s="141"/>
      <c r="AR78" s="141"/>
      <c r="AS78" s="141"/>
      <c r="AT78" s="141"/>
      <c r="AU78" s="141"/>
      <c r="AV78" s="141"/>
      <c r="AW78" s="141"/>
      <c r="AX78" s="141"/>
      <c r="AY78" s="141"/>
      <c r="AZ78" s="140" t="s">
        <v>332</v>
      </c>
      <c r="BA78" s="141"/>
      <c r="BB78" s="141"/>
      <c r="BC78" s="141"/>
      <c r="BD78" s="141"/>
      <c r="BE78" s="141"/>
      <c r="BF78" s="141"/>
      <c r="BG78" s="141"/>
      <c r="BH78" s="139"/>
      <c r="BI78" s="138"/>
      <c r="BJ78" s="127" t="s">
        <v>318</v>
      </c>
      <c r="BK78" s="138"/>
      <c r="BL78" s="139"/>
    </row>
    <row r="79" spans="3:67" ht="12.75" customHeight="1">
      <c r="C79" s="277"/>
      <c r="D79" s="278"/>
      <c r="E79" s="278"/>
      <c r="F79" s="132"/>
      <c r="G79" s="133"/>
      <c r="H79" s="133"/>
      <c r="I79" s="133"/>
      <c r="J79" s="133"/>
      <c r="K79" s="133"/>
      <c r="L79" s="134"/>
      <c r="M79" s="132"/>
      <c r="N79" s="132"/>
      <c r="O79" s="132"/>
      <c r="P79" s="132"/>
      <c r="Q79" s="132"/>
      <c r="R79" s="132"/>
      <c r="S79" s="132"/>
      <c r="T79" s="133"/>
      <c r="U79" s="133"/>
      <c r="V79" s="133"/>
      <c r="W79" s="133"/>
      <c r="X79" s="133"/>
      <c r="Y79" s="134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5"/>
      <c r="AP79" s="140" t="s">
        <v>333</v>
      </c>
      <c r="AQ79" s="141"/>
      <c r="AR79" s="141"/>
      <c r="AS79" s="141"/>
      <c r="AT79" s="141"/>
      <c r="AU79" s="141"/>
      <c r="AV79" s="141"/>
      <c r="AW79" s="141"/>
      <c r="AX79" s="141"/>
      <c r="AY79" s="141"/>
      <c r="AZ79" s="140" t="s">
        <v>334</v>
      </c>
      <c r="BA79" s="141"/>
      <c r="BB79" s="141"/>
      <c r="BC79" s="141"/>
      <c r="BD79" s="141"/>
      <c r="BE79" s="141"/>
      <c r="BF79" s="141"/>
      <c r="BG79" s="141"/>
      <c r="BH79" s="139"/>
      <c r="BI79" s="138"/>
      <c r="BJ79" s="127" t="s">
        <v>318</v>
      </c>
      <c r="BK79" s="138"/>
      <c r="BL79" s="139"/>
    </row>
    <row r="80" spans="3:67" ht="12.75" customHeight="1">
      <c r="C80" s="277"/>
      <c r="D80" s="278"/>
      <c r="E80" s="278"/>
      <c r="F80" s="132"/>
      <c r="G80" s="133"/>
      <c r="H80" s="133"/>
      <c r="I80" s="133"/>
      <c r="J80" s="133"/>
      <c r="K80" s="133"/>
      <c r="L80" s="134"/>
      <c r="M80" s="132"/>
      <c r="N80" s="132"/>
      <c r="O80" s="132"/>
      <c r="P80" s="132"/>
      <c r="Q80" s="132"/>
      <c r="R80" s="132"/>
      <c r="S80" s="132"/>
      <c r="T80" s="133"/>
      <c r="U80" s="133"/>
      <c r="V80" s="133"/>
      <c r="W80" s="133"/>
      <c r="X80" s="133"/>
      <c r="Y80" s="134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5"/>
      <c r="AP80" s="285" t="s">
        <v>335</v>
      </c>
      <c r="AQ80" s="137"/>
      <c r="AR80" s="137"/>
      <c r="AS80" s="137"/>
      <c r="AT80" s="137"/>
      <c r="AU80" s="137"/>
      <c r="AV80" s="137"/>
      <c r="AW80" s="137"/>
      <c r="AX80" s="137"/>
      <c r="AY80" s="137"/>
      <c r="AZ80" s="136" t="s">
        <v>336</v>
      </c>
      <c r="BA80" s="141"/>
      <c r="BB80" s="141"/>
      <c r="BC80" s="141"/>
      <c r="BD80" s="141"/>
      <c r="BE80" s="141"/>
      <c r="BF80" s="141"/>
      <c r="BG80" s="141"/>
      <c r="BH80" s="139"/>
      <c r="BI80" s="138"/>
      <c r="BJ80" s="127" t="s">
        <v>318</v>
      </c>
      <c r="BK80" s="138"/>
      <c r="BL80" s="139"/>
    </row>
    <row r="81" spans="3:64" ht="12.75" customHeight="1">
      <c r="C81" s="277"/>
      <c r="D81" s="278"/>
      <c r="E81" s="278"/>
      <c r="F81" s="132"/>
      <c r="G81" s="133"/>
      <c r="H81" s="133"/>
      <c r="I81" s="133"/>
      <c r="J81" s="133"/>
      <c r="K81" s="133"/>
      <c r="L81" s="134"/>
      <c r="M81" s="132"/>
      <c r="N81" s="132"/>
      <c r="O81" s="132"/>
      <c r="P81" s="132"/>
      <c r="Q81" s="132"/>
      <c r="R81" s="132"/>
      <c r="S81" s="132"/>
      <c r="T81" s="133"/>
      <c r="U81" s="133"/>
      <c r="V81" s="133"/>
      <c r="W81" s="133"/>
      <c r="X81" s="133"/>
      <c r="Y81" s="134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5"/>
      <c r="AP81" s="140"/>
      <c r="AQ81" s="141"/>
      <c r="AR81" s="141"/>
      <c r="AS81" s="141"/>
      <c r="AT81" s="141"/>
      <c r="AU81" s="141"/>
      <c r="AV81" s="141"/>
      <c r="AW81" s="141"/>
      <c r="AX81" s="141"/>
      <c r="AY81" s="141"/>
      <c r="AZ81" s="140"/>
      <c r="BA81" s="141"/>
      <c r="BB81" s="141"/>
      <c r="BC81" s="141"/>
      <c r="BD81" s="141"/>
      <c r="BE81" s="141"/>
      <c r="BF81" s="141"/>
      <c r="BG81" s="141"/>
      <c r="BH81" s="139"/>
      <c r="BI81" s="138"/>
      <c r="BJ81" s="138"/>
      <c r="BK81" s="138"/>
      <c r="BL81" s="139"/>
    </row>
    <row r="82" spans="3:64" ht="12.75" customHeight="1">
      <c r="C82" s="277"/>
      <c r="D82" s="278"/>
      <c r="E82" s="278"/>
      <c r="F82" s="132"/>
      <c r="G82" s="133"/>
      <c r="H82" s="133"/>
      <c r="I82" s="133"/>
      <c r="J82" s="133"/>
      <c r="K82" s="133"/>
      <c r="L82" s="134"/>
      <c r="M82" s="132"/>
      <c r="N82" s="132"/>
      <c r="O82" s="132"/>
      <c r="P82" s="132"/>
      <c r="Q82" s="132"/>
      <c r="R82" s="132"/>
      <c r="S82" s="132"/>
      <c r="T82" s="133"/>
      <c r="U82" s="133"/>
      <c r="V82" s="133"/>
      <c r="W82" s="133"/>
      <c r="X82" s="133"/>
      <c r="Y82" s="134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5"/>
      <c r="AP82" s="140"/>
      <c r="AQ82" s="141"/>
      <c r="AR82" s="141"/>
      <c r="AS82" s="141"/>
      <c r="AT82" s="141"/>
      <c r="AU82" s="141"/>
      <c r="AV82" s="141"/>
      <c r="AW82" s="141"/>
      <c r="AX82" s="141"/>
      <c r="AY82" s="141"/>
      <c r="AZ82" s="140"/>
      <c r="BA82" s="141"/>
      <c r="BB82" s="141"/>
      <c r="BC82" s="141"/>
      <c r="BD82" s="141"/>
      <c r="BE82" s="141"/>
      <c r="BF82" s="141"/>
      <c r="BG82" s="141"/>
      <c r="BH82" s="139"/>
      <c r="BI82" s="138"/>
      <c r="BJ82" s="138"/>
      <c r="BK82" s="138"/>
      <c r="BL82" s="139"/>
    </row>
    <row r="83" spans="3:64" ht="12.75" customHeight="1">
      <c r="C83" s="277"/>
      <c r="D83" s="278"/>
      <c r="E83" s="278"/>
      <c r="F83" s="132"/>
      <c r="G83" s="133"/>
      <c r="H83" s="133"/>
      <c r="I83" s="133"/>
      <c r="J83" s="133"/>
      <c r="K83" s="133"/>
      <c r="L83" s="134"/>
      <c r="M83" s="132"/>
      <c r="N83" s="132"/>
      <c r="O83" s="132"/>
      <c r="P83" s="132"/>
      <c r="Q83" s="132"/>
      <c r="R83" s="132"/>
      <c r="S83" s="132"/>
      <c r="T83" s="133"/>
      <c r="U83" s="133"/>
      <c r="V83" s="133"/>
      <c r="W83" s="133"/>
      <c r="X83" s="133"/>
      <c r="Y83" s="134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5"/>
      <c r="AP83" s="140"/>
      <c r="AQ83" s="141"/>
      <c r="AR83" s="141"/>
      <c r="AS83" s="141"/>
      <c r="AT83" s="141"/>
      <c r="AU83" s="141"/>
      <c r="AV83" s="141"/>
      <c r="AW83" s="141"/>
      <c r="AX83" s="141"/>
      <c r="AY83" s="141"/>
      <c r="AZ83" s="140"/>
      <c r="BA83" s="141"/>
      <c r="BB83" s="141"/>
      <c r="BC83" s="141"/>
      <c r="BD83" s="141"/>
      <c r="BE83" s="141"/>
      <c r="BF83" s="141"/>
      <c r="BG83" s="141"/>
      <c r="BH83" s="139"/>
      <c r="BI83" s="138"/>
      <c r="BJ83" s="138"/>
      <c r="BK83" s="138"/>
      <c r="BL83" s="139"/>
    </row>
    <row r="84" spans="3:64" ht="12.75" customHeight="1">
      <c r="C84" s="277"/>
      <c r="D84" s="278"/>
      <c r="E84" s="278"/>
      <c r="F84" s="132"/>
      <c r="G84" s="133"/>
      <c r="H84" s="133"/>
      <c r="I84" s="133"/>
      <c r="J84" s="133"/>
      <c r="K84" s="133"/>
      <c r="L84" s="134"/>
      <c r="M84" s="132"/>
      <c r="N84" s="132"/>
      <c r="O84" s="132"/>
      <c r="P84" s="132"/>
      <c r="Q84" s="132"/>
      <c r="R84" s="132"/>
      <c r="S84" s="132"/>
      <c r="T84" s="133"/>
      <c r="U84" s="133"/>
      <c r="V84" s="133"/>
      <c r="W84" s="133"/>
      <c r="X84" s="133"/>
      <c r="Y84" s="134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5"/>
      <c r="AP84" s="140"/>
      <c r="AQ84" s="141"/>
      <c r="AR84" s="141"/>
      <c r="AS84" s="141"/>
      <c r="AT84" s="141"/>
      <c r="AU84" s="141"/>
      <c r="AV84" s="141"/>
      <c r="AW84" s="141"/>
      <c r="AX84" s="141"/>
      <c r="AY84" s="141"/>
      <c r="AZ84" s="140"/>
      <c r="BA84" s="141"/>
      <c r="BB84" s="141"/>
      <c r="BC84" s="141"/>
      <c r="BD84" s="141"/>
      <c r="BE84" s="141"/>
      <c r="BF84" s="141"/>
      <c r="BG84" s="141"/>
      <c r="BH84" s="139"/>
      <c r="BI84" s="138"/>
      <c r="BJ84" s="138"/>
      <c r="BK84" s="138"/>
      <c r="BL84" s="139"/>
    </row>
    <row r="85" spans="3:64" ht="12.75" customHeight="1">
      <c r="C85" s="277"/>
      <c r="D85" s="278"/>
      <c r="E85" s="278"/>
      <c r="F85" s="132"/>
      <c r="G85" s="133"/>
      <c r="H85" s="133"/>
      <c r="I85" s="133"/>
      <c r="J85" s="133"/>
      <c r="K85" s="133"/>
      <c r="L85" s="134"/>
      <c r="M85" s="132"/>
      <c r="N85" s="132"/>
      <c r="O85" s="132"/>
      <c r="P85" s="132"/>
      <c r="Q85" s="132"/>
      <c r="R85" s="132"/>
      <c r="S85" s="132"/>
      <c r="T85" s="133"/>
      <c r="U85" s="133"/>
      <c r="V85" s="133"/>
      <c r="W85" s="133"/>
      <c r="X85" s="133"/>
      <c r="Y85" s="134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5"/>
      <c r="AP85" s="140"/>
      <c r="AQ85" s="141"/>
      <c r="AR85" s="141"/>
      <c r="AS85" s="141"/>
      <c r="AT85" s="141"/>
      <c r="AU85" s="141"/>
      <c r="AV85" s="141"/>
      <c r="AW85" s="141"/>
      <c r="AX85" s="141"/>
      <c r="AY85" s="141"/>
      <c r="AZ85" s="140"/>
      <c r="BA85" s="141"/>
      <c r="BB85" s="141"/>
      <c r="BC85" s="141"/>
      <c r="BD85" s="141"/>
      <c r="BE85" s="141"/>
      <c r="BF85" s="141"/>
      <c r="BG85" s="141"/>
      <c r="BH85" s="139"/>
      <c r="BI85" s="138"/>
      <c r="BJ85" s="138"/>
      <c r="BK85" s="138"/>
      <c r="BL85" s="139"/>
    </row>
    <row r="86" spans="3:64" ht="12.75" customHeight="1">
      <c r="C86" s="277"/>
      <c r="D86" s="278"/>
      <c r="E86" s="278"/>
      <c r="F86" s="132"/>
      <c r="G86" s="133"/>
      <c r="H86" s="133"/>
      <c r="I86" s="133"/>
      <c r="J86" s="133"/>
      <c r="K86" s="133"/>
      <c r="L86" s="134"/>
      <c r="M86" s="132"/>
      <c r="N86" s="132"/>
      <c r="O86" s="132"/>
      <c r="P86" s="132"/>
      <c r="Q86" s="132"/>
      <c r="R86" s="132"/>
      <c r="S86" s="132"/>
      <c r="T86" s="133"/>
      <c r="U86" s="133"/>
      <c r="V86" s="133"/>
      <c r="W86" s="133"/>
      <c r="X86" s="133"/>
      <c r="Y86" s="134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5"/>
      <c r="AP86" s="140"/>
      <c r="AQ86" s="141"/>
      <c r="AR86" s="141"/>
      <c r="AS86" s="141"/>
      <c r="AT86" s="141"/>
      <c r="AU86" s="141"/>
      <c r="AV86" s="141"/>
      <c r="AW86" s="141"/>
      <c r="AX86" s="141"/>
      <c r="AY86" s="141"/>
      <c r="AZ86" s="140"/>
      <c r="BA86" s="141"/>
      <c r="BB86" s="141"/>
      <c r="BC86" s="141"/>
      <c r="BD86" s="141"/>
      <c r="BE86" s="141"/>
      <c r="BF86" s="141"/>
      <c r="BG86" s="141"/>
      <c r="BH86" s="139"/>
      <c r="BI86" s="138"/>
      <c r="BJ86" s="138"/>
      <c r="BK86" s="138"/>
      <c r="BL86" s="139"/>
    </row>
    <row r="87" spans="3:64" ht="12.75" customHeight="1">
      <c r="C87" s="277"/>
      <c r="D87" s="278"/>
      <c r="E87" s="278"/>
      <c r="F87" s="132"/>
      <c r="G87" s="133"/>
      <c r="H87" s="133"/>
      <c r="I87" s="133"/>
      <c r="J87" s="133"/>
      <c r="K87" s="133"/>
      <c r="L87" s="134"/>
      <c r="M87" s="132"/>
      <c r="N87" s="132"/>
      <c r="O87" s="132"/>
      <c r="P87" s="132"/>
      <c r="Q87" s="132"/>
      <c r="R87" s="132"/>
      <c r="S87" s="132"/>
      <c r="T87" s="133"/>
      <c r="U87" s="133"/>
      <c r="V87" s="133"/>
      <c r="W87" s="133"/>
      <c r="X87" s="133"/>
      <c r="Y87" s="134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5"/>
      <c r="AP87" s="140"/>
      <c r="AQ87" s="141"/>
      <c r="AR87" s="141"/>
      <c r="AS87" s="141"/>
      <c r="AT87" s="141"/>
      <c r="AU87" s="141"/>
      <c r="AV87" s="141"/>
      <c r="AW87" s="141"/>
      <c r="AX87" s="141"/>
      <c r="AY87" s="141"/>
      <c r="AZ87" s="140"/>
      <c r="BA87" s="141"/>
      <c r="BB87" s="141"/>
      <c r="BC87" s="141"/>
      <c r="BD87" s="141"/>
      <c r="BE87" s="141"/>
      <c r="BF87" s="141"/>
      <c r="BG87" s="141"/>
      <c r="BH87" s="139"/>
      <c r="BI87" s="138"/>
      <c r="BJ87" s="138"/>
      <c r="BK87" s="138"/>
      <c r="BL87" s="139"/>
    </row>
    <row r="88" spans="3:64" ht="12.75" customHeight="1">
      <c r="C88" s="277"/>
      <c r="D88" s="278"/>
      <c r="E88" s="278"/>
      <c r="F88" s="132"/>
      <c r="G88" s="133"/>
      <c r="H88" s="133"/>
      <c r="I88" s="133"/>
      <c r="J88" s="133"/>
      <c r="K88" s="133"/>
      <c r="L88" s="134"/>
      <c r="M88" s="132"/>
      <c r="N88" s="132"/>
      <c r="O88" s="132"/>
      <c r="P88" s="132"/>
      <c r="Q88" s="132"/>
      <c r="R88" s="132"/>
      <c r="S88" s="132"/>
      <c r="T88" s="133"/>
      <c r="U88" s="133"/>
      <c r="V88" s="133"/>
      <c r="W88" s="133"/>
      <c r="X88" s="133"/>
      <c r="Y88" s="134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5"/>
      <c r="AP88" s="140"/>
      <c r="AQ88" s="141"/>
      <c r="AR88" s="141"/>
      <c r="AS88" s="141"/>
      <c r="AT88" s="141"/>
      <c r="AU88" s="141"/>
      <c r="AV88" s="141"/>
      <c r="AW88" s="141"/>
      <c r="AX88" s="141"/>
      <c r="AY88" s="141"/>
      <c r="AZ88" s="140"/>
      <c r="BA88" s="141"/>
      <c r="BB88" s="141"/>
      <c r="BC88" s="141"/>
      <c r="BD88" s="141"/>
      <c r="BE88" s="141"/>
      <c r="BF88" s="141"/>
      <c r="BG88" s="141"/>
      <c r="BH88" s="139"/>
      <c r="BI88" s="138"/>
      <c r="BJ88" s="138"/>
      <c r="BK88" s="138"/>
      <c r="BL88" s="139"/>
    </row>
    <row r="89" spans="3:64" ht="12.75" customHeight="1">
      <c r="C89" s="277"/>
      <c r="D89" s="278"/>
      <c r="E89" s="278"/>
      <c r="F89" s="132"/>
      <c r="G89" s="133"/>
      <c r="H89" s="133"/>
      <c r="I89" s="133"/>
      <c r="J89" s="133"/>
      <c r="K89" s="133"/>
      <c r="L89" s="134"/>
      <c r="M89" s="132"/>
      <c r="N89" s="132"/>
      <c r="O89" s="132"/>
      <c r="P89" s="132"/>
      <c r="Q89" s="132"/>
      <c r="R89" s="132"/>
      <c r="S89" s="132"/>
      <c r="T89" s="133"/>
      <c r="U89" s="133"/>
      <c r="V89" s="133"/>
      <c r="W89" s="133"/>
      <c r="X89" s="133"/>
      <c r="Y89" s="134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5"/>
      <c r="AP89" s="140"/>
      <c r="AQ89" s="141"/>
      <c r="AR89" s="141"/>
      <c r="AS89" s="141"/>
      <c r="AT89" s="141"/>
      <c r="AU89" s="141"/>
      <c r="AV89" s="141"/>
      <c r="AW89" s="141"/>
      <c r="AX89" s="141"/>
      <c r="AY89" s="141"/>
      <c r="AZ89" s="140"/>
      <c r="BA89" s="141"/>
      <c r="BB89" s="141"/>
      <c r="BC89" s="141"/>
      <c r="BD89" s="141"/>
      <c r="BE89" s="141"/>
      <c r="BF89" s="141"/>
      <c r="BG89" s="141"/>
      <c r="BH89" s="139"/>
      <c r="BI89" s="138"/>
      <c r="BJ89" s="138"/>
      <c r="BK89" s="138"/>
      <c r="BL89" s="139"/>
    </row>
    <row r="90" spans="3:64" ht="12.75" customHeight="1">
      <c r="C90" s="401"/>
      <c r="D90" s="402"/>
      <c r="E90" s="402"/>
      <c r="F90" s="142"/>
      <c r="G90" s="143"/>
      <c r="H90" s="143"/>
      <c r="I90" s="143"/>
      <c r="J90" s="143"/>
      <c r="K90" s="143"/>
      <c r="L90" s="144"/>
      <c r="M90" s="142"/>
      <c r="N90" s="142"/>
      <c r="O90" s="142"/>
      <c r="P90" s="142"/>
      <c r="Q90" s="142"/>
      <c r="R90" s="142"/>
      <c r="S90" s="142"/>
      <c r="T90" s="143"/>
      <c r="U90" s="143"/>
      <c r="V90" s="143"/>
      <c r="W90" s="143"/>
      <c r="X90" s="143"/>
      <c r="Y90" s="144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5"/>
      <c r="AP90" s="146"/>
      <c r="AQ90" s="147"/>
      <c r="AR90" s="147"/>
      <c r="AS90" s="147"/>
      <c r="AT90" s="147"/>
      <c r="AU90" s="147"/>
      <c r="AV90" s="147"/>
      <c r="AW90" s="147"/>
      <c r="AX90" s="147"/>
      <c r="AY90" s="147"/>
      <c r="AZ90" s="146"/>
      <c r="BA90" s="147"/>
      <c r="BB90" s="147"/>
      <c r="BC90" s="147"/>
      <c r="BD90" s="147"/>
      <c r="BE90" s="147"/>
      <c r="BF90" s="147"/>
      <c r="BG90" s="147"/>
      <c r="BH90" s="148"/>
      <c r="BI90" s="149"/>
      <c r="BJ90" s="149"/>
      <c r="BK90" s="149"/>
      <c r="BL90" s="148"/>
    </row>
  </sheetData>
  <mergeCells count="12">
    <mergeCell ref="BE1:BG1"/>
    <mergeCell ref="BH1:BK1"/>
    <mergeCell ref="BL1:BN2"/>
    <mergeCell ref="AW2:AY2"/>
    <mergeCell ref="BE2:BG2"/>
    <mergeCell ref="BH2:BK2"/>
    <mergeCell ref="AW1:AY1"/>
    <mergeCell ref="A1:F2"/>
    <mergeCell ref="C69:AO69"/>
    <mergeCell ref="C74:E74"/>
    <mergeCell ref="C75:E75"/>
    <mergeCell ref="C90:E90"/>
  </mergeCells>
  <phoneticPr fontId="3"/>
  <dataValidations count="1">
    <dataValidation type="list" allowBlank="1" showInputMessage="1" showErrorMessage="1" sqref="C74:E90" xr:uid="{BC5A130F-879B-4967-A539-9FAF38A4CFBA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2" manualBreakCount="2">
    <brk id="28" max="65" man="1"/>
    <brk id="67" max="6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9F60-28CE-4E20-BEF3-FF7B29EE82AF}">
  <sheetPr>
    <tabColor rgb="FFFFC000"/>
  </sheetPr>
  <dimension ref="A1:M48"/>
  <sheetViews>
    <sheetView zoomScale="40" zoomScaleNormal="40" workbookViewId="0">
      <selection activeCell="I45" sqref="I45"/>
    </sheetView>
  </sheetViews>
  <sheetFormatPr defaultRowHeight="13"/>
  <cols>
    <col min="3" max="3" width="37.36328125" bestFit="1" customWidth="1"/>
    <col min="4" max="4" width="9.7265625" customWidth="1"/>
    <col min="5" max="5" width="21.36328125" bestFit="1" customWidth="1"/>
    <col min="6" max="6" width="13.90625" customWidth="1"/>
    <col min="7" max="7" width="20.36328125" customWidth="1"/>
    <col min="8" max="8" width="15.6328125" bestFit="1" customWidth="1"/>
    <col min="9" max="10" width="13.36328125" customWidth="1"/>
    <col min="11" max="11" width="14.36328125" customWidth="1"/>
    <col min="12" max="12" width="60" customWidth="1"/>
    <col min="13" max="13" width="38.08984375" bestFit="1" customWidth="1"/>
  </cols>
  <sheetData>
    <row r="1" spans="1:13">
      <c r="A1" s="9" t="s">
        <v>51</v>
      </c>
    </row>
    <row r="3" spans="1:13">
      <c r="A3" s="13" t="s">
        <v>52</v>
      </c>
    </row>
    <row r="5" spans="1:13">
      <c r="A5" s="13" t="s">
        <v>53</v>
      </c>
    </row>
    <row r="7" spans="1:13">
      <c r="A7" s="77" t="s">
        <v>54</v>
      </c>
      <c r="B7" s="77"/>
      <c r="C7" s="77" t="s">
        <v>55</v>
      </c>
      <c r="D7" s="55" t="s">
        <v>56</v>
      </c>
      <c r="E7" s="96" t="s">
        <v>57</v>
      </c>
      <c r="F7" s="97"/>
      <c r="G7" s="97"/>
      <c r="H7" s="97"/>
      <c r="I7" s="97"/>
      <c r="J7" s="97"/>
      <c r="K7" s="98"/>
      <c r="L7" s="78" t="s">
        <v>58</v>
      </c>
      <c r="M7" s="79" t="s">
        <v>59</v>
      </c>
    </row>
    <row r="8" spans="1:13">
      <c r="A8" s="56"/>
      <c r="B8" s="56"/>
      <c r="C8" s="56"/>
      <c r="D8" s="56"/>
      <c r="E8" s="57" t="s">
        <v>60</v>
      </c>
      <c r="F8" s="96" t="s">
        <v>61</v>
      </c>
      <c r="G8" s="98"/>
      <c r="H8" s="58" t="s">
        <v>62</v>
      </c>
      <c r="I8" s="58"/>
      <c r="J8" s="58"/>
      <c r="K8" s="98"/>
      <c r="L8" s="59"/>
      <c r="M8" s="60"/>
    </row>
    <row r="9" spans="1:13">
      <c r="A9" s="61"/>
      <c r="B9" s="61"/>
      <c r="C9" s="61"/>
      <c r="D9" s="61"/>
      <c r="E9" s="62" t="s">
        <v>63</v>
      </c>
      <c r="F9" s="62" t="s">
        <v>44</v>
      </c>
      <c r="G9" s="62" t="s">
        <v>64</v>
      </c>
      <c r="H9" s="62" t="s">
        <v>65</v>
      </c>
      <c r="I9" s="62" t="s">
        <v>66</v>
      </c>
      <c r="J9" s="62" t="s">
        <v>67</v>
      </c>
      <c r="K9" s="62" t="s">
        <v>68</v>
      </c>
      <c r="L9" s="63"/>
      <c r="M9" s="64"/>
    </row>
    <row r="10" spans="1:13">
      <c r="A10" s="68">
        <v>1</v>
      </c>
      <c r="B10" s="65" t="s">
        <v>48</v>
      </c>
      <c r="C10" s="217" t="s">
        <v>251</v>
      </c>
      <c r="D10" s="66" t="s">
        <v>69</v>
      </c>
      <c r="E10" s="66" t="s">
        <v>69</v>
      </c>
      <c r="F10" s="66" t="s">
        <v>69</v>
      </c>
      <c r="G10" s="66" t="s">
        <v>69</v>
      </c>
      <c r="H10" s="66" t="s">
        <v>69</v>
      </c>
      <c r="I10" s="66" t="s">
        <v>69</v>
      </c>
      <c r="J10" s="66" t="s">
        <v>69</v>
      </c>
      <c r="K10" s="66" t="s">
        <v>69</v>
      </c>
      <c r="L10" s="150"/>
      <c r="M10" s="15"/>
    </row>
    <row r="11" spans="1:13">
      <c r="A11" s="68">
        <v>2</v>
      </c>
      <c r="B11" s="65" t="s">
        <v>48</v>
      </c>
      <c r="C11" s="217" t="s">
        <v>252</v>
      </c>
      <c r="D11" s="66" t="s">
        <v>69</v>
      </c>
      <c r="E11" s="66" t="s">
        <v>344</v>
      </c>
      <c r="F11" s="66" t="s">
        <v>343</v>
      </c>
      <c r="G11" s="66" t="s">
        <v>69</v>
      </c>
      <c r="H11" s="66" t="s">
        <v>69</v>
      </c>
      <c r="I11" s="66" t="s">
        <v>69</v>
      </c>
      <c r="J11" s="66" t="s">
        <v>69</v>
      </c>
      <c r="K11" s="66" t="s">
        <v>69</v>
      </c>
      <c r="L11" s="150"/>
      <c r="M11" s="15"/>
    </row>
    <row r="12" spans="1:13">
      <c r="A12" s="68">
        <v>3</v>
      </c>
      <c r="B12" s="65" t="s">
        <v>48</v>
      </c>
      <c r="C12" s="217" t="s">
        <v>253</v>
      </c>
      <c r="D12" s="66" t="s">
        <v>69</v>
      </c>
      <c r="E12" s="287"/>
      <c r="F12" s="287"/>
      <c r="G12" s="66" t="s">
        <v>69</v>
      </c>
      <c r="H12" s="66" t="s">
        <v>69</v>
      </c>
      <c r="I12" s="66" t="s">
        <v>69</v>
      </c>
      <c r="J12" s="66" t="s">
        <v>69</v>
      </c>
      <c r="K12" s="66" t="s">
        <v>69</v>
      </c>
      <c r="L12" s="150"/>
      <c r="M12" s="15"/>
    </row>
    <row r="13" spans="1:13">
      <c r="A13" s="68">
        <v>4</v>
      </c>
      <c r="B13" s="65" t="s">
        <v>48</v>
      </c>
      <c r="C13" s="217" t="s">
        <v>254</v>
      </c>
      <c r="D13" s="66" t="s">
        <v>69</v>
      </c>
      <c r="E13" s="66" t="s">
        <v>348</v>
      </c>
      <c r="F13" s="66" t="s">
        <v>347</v>
      </c>
      <c r="G13" s="66" t="s">
        <v>69</v>
      </c>
      <c r="H13" s="66" t="s">
        <v>69</v>
      </c>
      <c r="I13" s="66" t="s">
        <v>69</v>
      </c>
      <c r="J13" s="66" t="s">
        <v>69</v>
      </c>
      <c r="K13" s="66" t="s">
        <v>69</v>
      </c>
      <c r="L13" s="67"/>
      <c r="M13" s="15"/>
    </row>
    <row r="14" spans="1:13">
      <c r="A14" s="68">
        <v>5</v>
      </c>
      <c r="B14" s="65" t="s">
        <v>48</v>
      </c>
      <c r="C14" s="217" t="s">
        <v>255</v>
      </c>
      <c r="D14" s="66" t="s">
        <v>69</v>
      </c>
      <c r="E14" s="287"/>
      <c r="F14" s="287"/>
      <c r="G14" s="66" t="s">
        <v>69</v>
      </c>
      <c r="H14" s="66" t="s">
        <v>69</v>
      </c>
      <c r="I14" s="66" t="s">
        <v>69</v>
      </c>
      <c r="J14" s="66" t="s">
        <v>69</v>
      </c>
      <c r="K14" s="66" t="s">
        <v>69</v>
      </c>
      <c r="L14" s="150"/>
      <c r="M14" s="15"/>
    </row>
    <row r="15" spans="1:13">
      <c r="A15" s="68">
        <v>6</v>
      </c>
      <c r="B15" s="65" t="s">
        <v>48</v>
      </c>
      <c r="C15" s="217" t="s">
        <v>256</v>
      </c>
      <c r="D15" s="66" t="s">
        <v>69</v>
      </c>
      <c r="E15" s="66" t="s">
        <v>69</v>
      </c>
      <c r="F15" s="66" t="s">
        <v>69</v>
      </c>
      <c r="G15" s="66" t="s">
        <v>69</v>
      </c>
      <c r="H15" s="66" t="s">
        <v>69</v>
      </c>
      <c r="I15" s="66" t="s">
        <v>69</v>
      </c>
      <c r="J15" s="66" t="s">
        <v>69</v>
      </c>
      <c r="K15" s="66" t="s">
        <v>69</v>
      </c>
      <c r="L15" s="150"/>
      <c r="M15" s="15"/>
    </row>
    <row r="16" spans="1:13">
      <c r="A16" s="68">
        <v>7</v>
      </c>
      <c r="B16" s="65" t="s">
        <v>48</v>
      </c>
      <c r="C16" s="217" t="s">
        <v>257</v>
      </c>
      <c r="D16" s="66" t="s">
        <v>69</v>
      </c>
      <c r="E16" s="287" t="s">
        <v>69</v>
      </c>
      <c r="F16" s="287" t="s">
        <v>349</v>
      </c>
      <c r="G16" s="66" t="s">
        <v>69</v>
      </c>
      <c r="H16" s="66" t="s">
        <v>69</v>
      </c>
      <c r="I16" s="66" t="s">
        <v>69</v>
      </c>
      <c r="J16" s="66" t="s">
        <v>69</v>
      </c>
      <c r="K16" s="66" t="s">
        <v>69</v>
      </c>
      <c r="L16" s="150"/>
      <c r="M16" s="15"/>
    </row>
    <row r="17" spans="1:13">
      <c r="A17" s="68">
        <v>8</v>
      </c>
      <c r="B17" s="65" t="s">
        <v>48</v>
      </c>
      <c r="C17" s="217" t="s">
        <v>258</v>
      </c>
      <c r="D17" s="66" t="s">
        <v>69</v>
      </c>
      <c r="E17" s="287" t="s">
        <v>69</v>
      </c>
      <c r="F17" s="287" t="s">
        <v>350</v>
      </c>
      <c r="G17" s="66" t="s">
        <v>69</v>
      </c>
      <c r="H17" s="66" t="s">
        <v>69</v>
      </c>
      <c r="I17" s="66" t="s">
        <v>69</v>
      </c>
      <c r="J17" s="66" t="s">
        <v>69</v>
      </c>
      <c r="K17" s="66" t="s">
        <v>69</v>
      </c>
      <c r="L17" s="150"/>
      <c r="M17" s="15"/>
    </row>
    <row r="18" spans="1:13">
      <c r="A18" s="68">
        <v>9</v>
      </c>
      <c r="B18" s="65" t="s">
        <v>48</v>
      </c>
      <c r="C18" s="217" t="s">
        <v>259</v>
      </c>
      <c r="D18" s="66" t="s">
        <v>69</v>
      </c>
      <c r="E18" s="287" t="s">
        <v>69</v>
      </c>
      <c r="F18" s="287" t="s">
        <v>351</v>
      </c>
      <c r="G18" s="66" t="s">
        <v>69</v>
      </c>
      <c r="H18" s="66" t="s">
        <v>69</v>
      </c>
      <c r="I18" s="66" t="s">
        <v>69</v>
      </c>
      <c r="J18" s="66" t="s">
        <v>69</v>
      </c>
      <c r="K18" s="66" t="s">
        <v>69</v>
      </c>
      <c r="L18" s="150"/>
      <c r="M18" s="151"/>
    </row>
    <row r="19" spans="1:13">
      <c r="A19" s="68">
        <v>10</v>
      </c>
      <c r="B19" s="65" t="s">
        <v>48</v>
      </c>
      <c r="C19" s="217" t="s">
        <v>260</v>
      </c>
      <c r="D19" s="66" t="s">
        <v>69</v>
      </c>
      <c r="E19" s="66" t="s">
        <v>348</v>
      </c>
      <c r="F19" s="66" t="s">
        <v>352</v>
      </c>
      <c r="G19" s="66" t="s">
        <v>69</v>
      </c>
      <c r="H19" s="66" t="s">
        <v>69</v>
      </c>
      <c r="I19" s="66" t="s">
        <v>69</v>
      </c>
      <c r="J19" s="66" t="s">
        <v>69</v>
      </c>
      <c r="K19" s="66" t="s">
        <v>69</v>
      </c>
      <c r="L19" s="67"/>
      <c r="M19" s="152"/>
    </row>
    <row r="20" spans="1:13">
      <c r="A20" s="68">
        <v>11</v>
      </c>
      <c r="B20" s="65" t="s">
        <v>48</v>
      </c>
      <c r="C20" s="217" t="s">
        <v>261</v>
      </c>
      <c r="D20" s="66" t="s">
        <v>69</v>
      </c>
      <c r="E20" s="66" t="s">
        <v>69</v>
      </c>
      <c r="F20" s="66" t="s">
        <v>69</v>
      </c>
      <c r="G20" s="66" t="s">
        <v>69</v>
      </c>
      <c r="H20" s="66" t="s">
        <v>69</v>
      </c>
      <c r="I20" s="66" t="s">
        <v>69</v>
      </c>
      <c r="J20" s="66" t="s">
        <v>69</v>
      </c>
      <c r="K20" s="66" t="s">
        <v>69</v>
      </c>
      <c r="L20" s="150"/>
      <c r="M20" s="15"/>
    </row>
    <row r="21" spans="1:13">
      <c r="A21" s="68">
        <v>12</v>
      </c>
      <c r="B21" s="65" t="s">
        <v>48</v>
      </c>
      <c r="C21" s="217" t="s">
        <v>262</v>
      </c>
      <c r="D21" s="66" t="s">
        <v>69</v>
      </c>
      <c r="E21" s="66" t="s">
        <v>69</v>
      </c>
      <c r="F21" s="66" t="s">
        <v>69</v>
      </c>
      <c r="G21" s="66" t="s">
        <v>69</v>
      </c>
      <c r="H21" s="66" t="s">
        <v>69</v>
      </c>
      <c r="I21" s="66" t="s">
        <v>69</v>
      </c>
      <c r="J21" s="66" t="s">
        <v>69</v>
      </c>
      <c r="K21" s="66" t="s">
        <v>69</v>
      </c>
      <c r="L21" s="150"/>
      <c r="M21" s="15"/>
    </row>
    <row r="22" spans="1:13">
      <c r="A22" s="68">
        <v>13</v>
      </c>
      <c r="B22" s="65" t="s">
        <v>48</v>
      </c>
      <c r="C22" s="217" t="s">
        <v>263</v>
      </c>
      <c r="D22" s="66" t="s">
        <v>69</v>
      </c>
      <c r="E22" s="66" t="s">
        <v>69</v>
      </c>
      <c r="F22" s="66" t="s">
        <v>69</v>
      </c>
      <c r="G22" s="66" t="s">
        <v>69</v>
      </c>
      <c r="H22" s="66" t="s">
        <v>69</v>
      </c>
      <c r="I22" s="66" t="s">
        <v>69</v>
      </c>
      <c r="J22" s="66" t="s">
        <v>69</v>
      </c>
      <c r="K22" s="66" t="s">
        <v>69</v>
      </c>
      <c r="L22" s="150"/>
      <c r="M22" s="15"/>
    </row>
    <row r="23" spans="1:13">
      <c r="A23" s="68">
        <v>14</v>
      </c>
      <c r="B23" s="65" t="s">
        <v>48</v>
      </c>
      <c r="C23" s="217" t="s">
        <v>264</v>
      </c>
      <c r="D23" s="66" t="s">
        <v>69</v>
      </c>
      <c r="E23" s="66" t="s">
        <v>69</v>
      </c>
      <c r="F23" s="66" t="s">
        <v>69</v>
      </c>
      <c r="G23" s="66" t="s">
        <v>69</v>
      </c>
      <c r="H23" s="66" t="s">
        <v>69</v>
      </c>
      <c r="I23" s="66" t="s">
        <v>69</v>
      </c>
      <c r="J23" s="66" t="s">
        <v>69</v>
      </c>
      <c r="K23" s="66" t="s">
        <v>69</v>
      </c>
      <c r="L23" s="150"/>
      <c r="M23" s="15"/>
    </row>
    <row r="24" spans="1:13">
      <c r="A24" s="68">
        <v>15</v>
      </c>
      <c r="B24" s="65" t="s">
        <v>48</v>
      </c>
      <c r="C24" s="217" t="s">
        <v>265</v>
      </c>
      <c r="D24" s="66" t="s">
        <v>69</v>
      </c>
      <c r="E24" s="66" t="s">
        <v>346</v>
      </c>
      <c r="F24" s="66" t="s">
        <v>353</v>
      </c>
      <c r="G24" s="66" t="s">
        <v>69</v>
      </c>
      <c r="H24" s="66" t="s">
        <v>69</v>
      </c>
      <c r="I24" s="66" t="s">
        <v>69</v>
      </c>
      <c r="J24" s="66" t="s">
        <v>69</v>
      </c>
      <c r="K24" s="66" t="s">
        <v>69</v>
      </c>
      <c r="L24" s="150"/>
      <c r="M24" s="151"/>
    </row>
    <row r="25" spans="1:13">
      <c r="A25" s="68">
        <v>16</v>
      </c>
      <c r="B25" s="65" t="s">
        <v>48</v>
      </c>
      <c r="C25" s="217" t="s">
        <v>266</v>
      </c>
      <c r="D25" s="66" t="s">
        <v>69</v>
      </c>
      <c r="E25" s="66" t="s">
        <v>346</v>
      </c>
      <c r="F25" s="66" t="s">
        <v>354</v>
      </c>
      <c r="G25" s="66" t="s">
        <v>69</v>
      </c>
      <c r="H25" s="66" t="s">
        <v>69</v>
      </c>
      <c r="I25" s="66" t="s">
        <v>69</v>
      </c>
      <c r="J25" s="66" t="s">
        <v>69</v>
      </c>
      <c r="K25" s="66" t="s">
        <v>69</v>
      </c>
      <c r="L25" s="67"/>
      <c r="M25" s="152"/>
    </row>
    <row r="26" spans="1:13">
      <c r="A26" s="68">
        <v>17</v>
      </c>
      <c r="B26" s="65" t="s">
        <v>48</v>
      </c>
      <c r="C26" s="217" t="s">
        <v>267</v>
      </c>
      <c r="D26" s="66" t="s">
        <v>69</v>
      </c>
      <c r="E26" s="66" t="s">
        <v>69</v>
      </c>
      <c r="F26" s="66" t="s">
        <v>69</v>
      </c>
      <c r="G26" s="66" t="s">
        <v>69</v>
      </c>
      <c r="H26" s="66" t="s">
        <v>69</v>
      </c>
      <c r="I26" s="66" t="s">
        <v>69</v>
      </c>
      <c r="J26" s="66" t="s">
        <v>69</v>
      </c>
      <c r="K26" s="66" t="s">
        <v>69</v>
      </c>
      <c r="L26" s="150"/>
      <c r="M26" s="15"/>
    </row>
    <row r="27" spans="1:13">
      <c r="A27" s="68">
        <v>18</v>
      </c>
      <c r="B27" s="65" t="s">
        <v>48</v>
      </c>
      <c r="C27" s="217" t="s">
        <v>268</v>
      </c>
      <c r="D27" s="66" t="s">
        <v>69</v>
      </c>
      <c r="E27" s="66" t="s">
        <v>346</v>
      </c>
      <c r="F27" s="66" t="s">
        <v>355</v>
      </c>
      <c r="G27" s="66" t="s">
        <v>69</v>
      </c>
      <c r="H27" s="66" t="s">
        <v>69</v>
      </c>
      <c r="I27" s="66" t="s">
        <v>69</v>
      </c>
      <c r="J27" s="66" t="s">
        <v>69</v>
      </c>
      <c r="K27" s="66" t="s">
        <v>69</v>
      </c>
      <c r="L27" s="150"/>
      <c r="M27" s="15"/>
    </row>
    <row r="28" spans="1:13">
      <c r="A28" s="68">
        <v>19</v>
      </c>
      <c r="B28" s="65" t="s">
        <v>48</v>
      </c>
      <c r="C28" s="217" t="s">
        <v>269</v>
      </c>
      <c r="D28" s="66" t="s">
        <v>69</v>
      </c>
      <c r="E28" s="66" t="s">
        <v>346</v>
      </c>
      <c r="F28" s="66" t="s">
        <v>356</v>
      </c>
      <c r="G28" s="66" t="s">
        <v>69</v>
      </c>
      <c r="H28" s="66" t="s">
        <v>69</v>
      </c>
      <c r="I28" s="66" t="s">
        <v>69</v>
      </c>
      <c r="J28" s="66" t="s">
        <v>69</v>
      </c>
      <c r="K28" s="66" t="s">
        <v>69</v>
      </c>
      <c r="L28" s="150"/>
      <c r="M28" s="15"/>
    </row>
    <row r="29" spans="1:13">
      <c r="A29" s="68">
        <v>20</v>
      </c>
      <c r="B29" s="65" t="s">
        <v>48</v>
      </c>
      <c r="C29" s="217" t="s">
        <v>270</v>
      </c>
      <c r="D29" s="66" t="s">
        <v>69</v>
      </c>
      <c r="E29" s="287" t="s">
        <v>69</v>
      </c>
      <c r="F29" s="287" t="s">
        <v>351</v>
      </c>
      <c r="G29" s="66" t="s">
        <v>69</v>
      </c>
      <c r="H29" s="66" t="s">
        <v>69</v>
      </c>
      <c r="I29" s="66" t="s">
        <v>69</v>
      </c>
      <c r="J29" s="66" t="s">
        <v>69</v>
      </c>
      <c r="K29" s="66" t="s">
        <v>69</v>
      </c>
      <c r="L29" s="150"/>
      <c r="M29" s="15"/>
    </row>
    <row r="30" spans="1:13">
      <c r="A30" s="68">
        <v>21</v>
      </c>
      <c r="B30" s="65" t="s">
        <v>48</v>
      </c>
      <c r="C30" s="217" t="s">
        <v>271</v>
      </c>
      <c r="D30" s="66" t="s">
        <v>69</v>
      </c>
      <c r="E30" s="66" t="s">
        <v>346</v>
      </c>
      <c r="F30" s="66" t="s">
        <v>357</v>
      </c>
      <c r="G30" s="66" t="s">
        <v>69</v>
      </c>
      <c r="H30" s="66" t="s">
        <v>69</v>
      </c>
      <c r="I30" s="66" t="s">
        <v>69</v>
      </c>
      <c r="J30" s="66" t="s">
        <v>69</v>
      </c>
      <c r="K30" s="66" t="s">
        <v>69</v>
      </c>
      <c r="L30" s="150"/>
      <c r="M30" s="151"/>
    </row>
    <row r="31" spans="1:13">
      <c r="A31" s="68">
        <v>22</v>
      </c>
      <c r="B31" s="65" t="s">
        <v>48</v>
      </c>
      <c r="C31" s="217" t="s">
        <v>272</v>
      </c>
      <c r="D31" s="66" t="s">
        <v>69</v>
      </c>
      <c r="E31" s="66" t="s">
        <v>69</v>
      </c>
      <c r="F31" s="66" t="s">
        <v>69</v>
      </c>
      <c r="G31" s="66" t="s">
        <v>69</v>
      </c>
      <c r="H31" s="66" t="s">
        <v>69</v>
      </c>
      <c r="I31" s="66" t="s">
        <v>69</v>
      </c>
      <c r="J31" s="66" t="s">
        <v>69</v>
      </c>
      <c r="K31" s="66" t="s">
        <v>69</v>
      </c>
      <c r="L31" s="67"/>
      <c r="M31" s="152"/>
    </row>
    <row r="32" spans="1:13">
      <c r="A32" s="68">
        <v>23</v>
      </c>
      <c r="B32" s="65" t="s">
        <v>48</v>
      </c>
      <c r="C32" s="217" t="s">
        <v>273</v>
      </c>
      <c r="D32" s="66" t="s">
        <v>69</v>
      </c>
      <c r="E32" s="66" t="s">
        <v>69</v>
      </c>
      <c r="F32" s="66" t="s">
        <v>69</v>
      </c>
      <c r="G32" s="66" t="s">
        <v>69</v>
      </c>
      <c r="H32" s="66" t="s">
        <v>69</v>
      </c>
      <c r="I32" s="66" t="s">
        <v>69</v>
      </c>
      <c r="J32" s="66" t="s">
        <v>69</v>
      </c>
      <c r="K32" s="66" t="s">
        <v>69</v>
      </c>
      <c r="L32" s="150"/>
      <c r="M32" s="15"/>
    </row>
    <row r="33" spans="1:13">
      <c r="A33" s="68">
        <v>24</v>
      </c>
      <c r="B33" s="65" t="s">
        <v>48</v>
      </c>
      <c r="C33" s="217" t="s">
        <v>274</v>
      </c>
      <c r="D33" s="66" t="s">
        <v>69</v>
      </c>
      <c r="E33" s="66" t="s">
        <v>360</v>
      </c>
      <c r="F33" s="66" t="s">
        <v>358</v>
      </c>
      <c r="G33" s="66" t="s">
        <v>359</v>
      </c>
      <c r="H33" s="66" t="s">
        <v>69</v>
      </c>
      <c r="I33" s="66" t="s">
        <v>69</v>
      </c>
      <c r="J33" s="66" t="s">
        <v>69</v>
      </c>
      <c r="K33" s="66" t="s">
        <v>69</v>
      </c>
      <c r="L33" s="150"/>
      <c r="M33" s="15"/>
    </row>
    <row r="34" spans="1:13">
      <c r="A34" s="68">
        <v>25</v>
      </c>
      <c r="B34" s="65" t="s">
        <v>48</v>
      </c>
      <c r="C34" s="217" t="s">
        <v>275</v>
      </c>
      <c r="D34" s="66" t="s">
        <v>69</v>
      </c>
      <c r="E34" s="287"/>
      <c r="F34" s="287"/>
      <c r="G34" s="66" t="s">
        <v>69</v>
      </c>
      <c r="H34" s="66" t="s">
        <v>69</v>
      </c>
      <c r="I34" s="66" t="s">
        <v>69</v>
      </c>
      <c r="J34" s="66" t="s">
        <v>69</v>
      </c>
      <c r="K34" s="66" t="s">
        <v>69</v>
      </c>
      <c r="L34" s="150"/>
      <c r="M34" s="15"/>
    </row>
    <row r="35" spans="1:13">
      <c r="A35" s="68">
        <v>26</v>
      </c>
      <c r="B35" s="65" t="s">
        <v>48</v>
      </c>
      <c r="C35" s="217" t="s">
        <v>276</v>
      </c>
      <c r="D35" s="66" t="s">
        <v>69</v>
      </c>
      <c r="E35" s="66" t="s">
        <v>69</v>
      </c>
      <c r="F35" s="66" t="s">
        <v>69</v>
      </c>
      <c r="G35" s="66" t="s">
        <v>69</v>
      </c>
      <c r="H35" s="66" t="s">
        <v>69</v>
      </c>
      <c r="I35" s="66" t="s">
        <v>69</v>
      </c>
      <c r="J35" s="66" t="s">
        <v>69</v>
      </c>
      <c r="K35" s="66" t="s">
        <v>69</v>
      </c>
      <c r="L35" s="150"/>
      <c r="M35" s="15"/>
    </row>
    <row r="36" spans="1:13">
      <c r="A36" s="68">
        <v>27</v>
      </c>
      <c r="B36" s="65" t="s">
        <v>48</v>
      </c>
      <c r="C36" s="217" t="s">
        <v>277</v>
      </c>
      <c r="D36" s="66" t="s">
        <v>69</v>
      </c>
      <c r="E36" s="287"/>
      <c r="F36" s="287"/>
      <c r="G36" s="66" t="s">
        <v>69</v>
      </c>
      <c r="H36" s="66" t="s">
        <v>69</v>
      </c>
      <c r="I36" s="66" t="s">
        <v>69</v>
      </c>
      <c r="J36" s="66" t="s">
        <v>69</v>
      </c>
      <c r="K36" s="66" t="s">
        <v>69</v>
      </c>
      <c r="L36" s="150"/>
      <c r="M36" s="151"/>
    </row>
    <row r="37" spans="1:13">
      <c r="A37" s="68">
        <v>28</v>
      </c>
      <c r="B37" s="65" t="s">
        <v>48</v>
      </c>
      <c r="C37" s="217" t="s">
        <v>278</v>
      </c>
      <c r="D37" s="66" t="s">
        <v>69</v>
      </c>
      <c r="E37" s="287"/>
      <c r="F37" s="287"/>
      <c r="G37" s="66" t="s">
        <v>69</v>
      </c>
      <c r="H37" s="66" t="s">
        <v>69</v>
      </c>
      <c r="I37" s="66" t="s">
        <v>69</v>
      </c>
      <c r="J37" s="66" t="s">
        <v>69</v>
      </c>
      <c r="K37" s="66" t="s">
        <v>69</v>
      </c>
      <c r="L37" s="67"/>
      <c r="M37" s="152"/>
    </row>
    <row r="38" spans="1:13">
      <c r="A38" s="68">
        <v>29</v>
      </c>
      <c r="B38" s="65" t="s">
        <v>48</v>
      </c>
      <c r="C38" s="217" t="s">
        <v>279</v>
      </c>
      <c r="D38" s="66" t="s">
        <v>69</v>
      </c>
      <c r="E38" s="287"/>
      <c r="F38" s="287"/>
      <c r="G38" s="66" t="s">
        <v>69</v>
      </c>
      <c r="H38" s="66" t="s">
        <v>69</v>
      </c>
      <c r="I38" s="66" t="s">
        <v>69</v>
      </c>
      <c r="J38" s="66" t="s">
        <v>69</v>
      </c>
      <c r="K38" s="66" t="s">
        <v>69</v>
      </c>
      <c r="L38" s="150"/>
      <c r="M38" s="15"/>
    </row>
    <row r="39" spans="1:13">
      <c r="A39" s="68">
        <v>30</v>
      </c>
      <c r="B39" s="65" t="s">
        <v>48</v>
      </c>
      <c r="C39" s="217" t="s">
        <v>280</v>
      </c>
      <c r="D39" s="66" t="s">
        <v>69</v>
      </c>
      <c r="E39" s="287"/>
      <c r="F39" s="287"/>
      <c r="G39" s="66" t="s">
        <v>69</v>
      </c>
      <c r="H39" s="66" t="s">
        <v>69</v>
      </c>
      <c r="I39" s="66" t="s">
        <v>69</v>
      </c>
      <c r="J39" s="66" t="s">
        <v>69</v>
      </c>
      <c r="K39" s="66" t="s">
        <v>69</v>
      </c>
      <c r="L39" s="150"/>
      <c r="M39" s="15"/>
    </row>
    <row r="40" spans="1:13">
      <c r="A40" s="68">
        <v>31</v>
      </c>
      <c r="B40" s="65" t="s">
        <v>48</v>
      </c>
      <c r="C40" s="217" t="s">
        <v>281</v>
      </c>
      <c r="D40" s="66" t="s">
        <v>69</v>
      </c>
      <c r="E40" s="66" t="s">
        <v>69</v>
      </c>
      <c r="F40" s="66" t="s">
        <v>69</v>
      </c>
      <c r="G40" s="66" t="s">
        <v>69</v>
      </c>
      <c r="H40" s="66" t="s">
        <v>69</v>
      </c>
      <c r="I40" s="66" t="s">
        <v>69</v>
      </c>
      <c r="J40" s="66" t="s">
        <v>69</v>
      </c>
      <c r="K40" s="66" t="s">
        <v>69</v>
      </c>
      <c r="L40" s="150"/>
      <c r="M40" s="15"/>
    </row>
    <row r="41" spans="1:13">
      <c r="A41" s="68">
        <v>32</v>
      </c>
      <c r="B41" s="65" t="s">
        <v>48</v>
      </c>
      <c r="C41" s="217" t="s">
        <v>282</v>
      </c>
      <c r="D41" s="66" t="s">
        <v>69</v>
      </c>
      <c r="E41" s="66" t="s">
        <v>69</v>
      </c>
      <c r="F41" s="66" t="s">
        <v>69</v>
      </c>
      <c r="G41" s="66" t="s">
        <v>69</v>
      </c>
      <c r="H41" s="66" t="s">
        <v>69</v>
      </c>
      <c r="I41" s="66" t="s">
        <v>69</v>
      </c>
      <c r="J41" s="66" t="s">
        <v>69</v>
      </c>
      <c r="K41" s="66" t="s">
        <v>69</v>
      </c>
      <c r="L41" s="150"/>
      <c r="M41" s="15"/>
    </row>
    <row r="42" spans="1:13">
      <c r="A42" s="68">
        <v>33</v>
      </c>
      <c r="B42" s="65" t="s">
        <v>48</v>
      </c>
      <c r="C42" s="217" t="s">
        <v>283</v>
      </c>
      <c r="D42" s="66" t="s">
        <v>69</v>
      </c>
      <c r="E42" s="66" t="s">
        <v>346</v>
      </c>
      <c r="F42" s="66" t="s">
        <v>345</v>
      </c>
      <c r="G42" s="66" t="s">
        <v>361</v>
      </c>
      <c r="H42" s="66" t="s">
        <v>69</v>
      </c>
      <c r="I42" s="66" t="s">
        <v>69</v>
      </c>
      <c r="J42" s="66" t="s">
        <v>69</v>
      </c>
      <c r="K42" s="66" t="s">
        <v>69</v>
      </c>
      <c r="L42" s="150"/>
      <c r="M42" s="151"/>
    </row>
    <row r="43" spans="1:13">
      <c r="A43" s="68">
        <v>34</v>
      </c>
      <c r="B43" s="65" t="s">
        <v>48</v>
      </c>
      <c r="C43" s="217" t="s">
        <v>284</v>
      </c>
      <c r="D43" s="66" t="s">
        <v>69</v>
      </c>
      <c r="E43" s="66" t="s">
        <v>346</v>
      </c>
      <c r="F43" s="66" t="s">
        <v>345</v>
      </c>
      <c r="G43" s="66" t="s">
        <v>362</v>
      </c>
      <c r="H43" s="66" t="s">
        <v>69</v>
      </c>
      <c r="I43" s="66" t="s">
        <v>69</v>
      </c>
      <c r="J43" s="66" t="s">
        <v>69</v>
      </c>
      <c r="K43" s="66" t="s">
        <v>69</v>
      </c>
      <c r="L43" s="67"/>
      <c r="M43" s="152"/>
    </row>
    <row r="44" spans="1:13">
      <c r="A44" s="68">
        <v>35</v>
      </c>
      <c r="B44" s="65" t="s">
        <v>48</v>
      </c>
      <c r="C44" s="217" t="s">
        <v>285</v>
      </c>
      <c r="D44" s="66" t="s">
        <v>69</v>
      </c>
      <c r="E44" s="287"/>
      <c r="F44" s="287"/>
      <c r="G44" s="66" t="s">
        <v>69</v>
      </c>
      <c r="H44" s="66" t="s">
        <v>69</v>
      </c>
      <c r="I44" s="66" t="s">
        <v>69</v>
      </c>
      <c r="J44" s="66" t="s">
        <v>69</v>
      </c>
      <c r="K44" s="66" t="s">
        <v>69</v>
      </c>
      <c r="L44" s="150"/>
      <c r="M44" s="15"/>
    </row>
    <row r="45" spans="1:13">
      <c r="A45" s="68">
        <v>36</v>
      </c>
      <c r="B45" s="65" t="s">
        <v>48</v>
      </c>
      <c r="C45" s="217" t="s">
        <v>286</v>
      </c>
      <c r="D45" s="66" t="s">
        <v>69</v>
      </c>
      <c r="E45" s="66" t="s">
        <v>69</v>
      </c>
      <c r="F45" s="66" t="s">
        <v>69</v>
      </c>
      <c r="G45" s="66" t="s">
        <v>69</v>
      </c>
      <c r="H45" s="66" t="s">
        <v>69</v>
      </c>
      <c r="I45" s="66" t="s">
        <v>69</v>
      </c>
      <c r="J45" s="66" t="s">
        <v>69</v>
      </c>
      <c r="K45" s="66" t="s">
        <v>69</v>
      </c>
      <c r="L45" s="150"/>
      <c r="M45" s="15"/>
    </row>
    <row r="46" spans="1:13">
      <c r="A46" s="68">
        <v>37</v>
      </c>
      <c r="B46" s="65" t="s">
        <v>48</v>
      </c>
      <c r="C46" s="217" t="s">
        <v>287</v>
      </c>
      <c r="D46" s="66" t="s">
        <v>69</v>
      </c>
      <c r="E46" s="66" t="s">
        <v>364</v>
      </c>
      <c r="F46" s="66" t="s">
        <v>363</v>
      </c>
      <c r="G46" s="66" t="s">
        <v>69</v>
      </c>
      <c r="H46" s="66" t="s">
        <v>69</v>
      </c>
      <c r="I46" s="66" t="s">
        <v>69</v>
      </c>
      <c r="J46" s="66" t="s">
        <v>69</v>
      </c>
      <c r="K46" s="66" t="s">
        <v>69</v>
      </c>
      <c r="L46" s="150"/>
      <c r="M46" s="15"/>
    </row>
    <row r="47" spans="1:13">
      <c r="A47" s="68">
        <v>38</v>
      </c>
      <c r="B47" s="65" t="s">
        <v>48</v>
      </c>
      <c r="C47" s="217" t="s">
        <v>288</v>
      </c>
      <c r="D47" s="66" t="s">
        <v>69</v>
      </c>
      <c r="E47" s="66" t="s">
        <v>69</v>
      </c>
      <c r="F47" s="66" t="s">
        <v>69</v>
      </c>
      <c r="G47" s="66" t="s">
        <v>69</v>
      </c>
      <c r="H47" s="66" t="s">
        <v>69</v>
      </c>
      <c r="I47" s="66" t="s">
        <v>69</v>
      </c>
      <c r="J47" s="66" t="s">
        <v>69</v>
      </c>
      <c r="K47" s="66" t="s">
        <v>69</v>
      </c>
      <c r="L47" s="150"/>
      <c r="M47" s="15"/>
    </row>
    <row r="48" spans="1:13">
      <c r="A48" s="15">
        <v>39</v>
      </c>
      <c r="B48" s="65" t="s">
        <v>48</v>
      </c>
      <c r="C48" s="165" t="s">
        <v>289</v>
      </c>
      <c r="D48" s="66" t="s">
        <v>69</v>
      </c>
      <c r="E48" s="66" t="s">
        <v>69</v>
      </c>
      <c r="F48" s="66" t="s">
        <v>69</v>
      </c>
      <c r="G48" s="66" t="s">
        <v>69</v>
      </c>
      <c r="H48" s="66" t="s">
        <v>69</v>
      </c>
      <c r="I48" s="66" t="s">
        <v>69</v>
      </c>
      <c r="J48" s="66" t="s">
        <v>69</v>
      </c>
      <c r="K48" s="66" t="s">
        <v>69</v>
      </c>
      <c r="L48" s="150"/>
      <c r="M48" s="151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2752-0B2A-4732-AD98-E67A5C3B0CCA}">
  <sheetPr>
    <pageSetUpPr fitToPage="1"/>
  </sheetPr>
  <dimension ref="A1:BO19"/>
  <sheetViews>
    <sheetView showGridLines="0" view="pageBreakPreview" zoomScale="85" zoomScaleNormal="70" zoomScaleSheetLayoutView="85" workbookViewId="0">
      <selection activeCell="AE1" sqref="AD1:AV1"/>
    </sheetView>
  </sheetViews>
  <sheetFormatPr defaultColWidth="2.6328125" defaultRowHeight="12.75" customHeight="1"/>
  <cols>
    <col min="1" max="1" width="2.6328125" customWidth="1"/>
    <col min="18" max="18" width="2.6328125" customWidth="1"/>
  </cols>
  <sheetData>
    <row r="1" spans="1:67" s="1" customFormat="1" ht="13.5" customHeight="1">
      <c r="A1" s="390" t="s">
        <v>21</v>
      </c>
      <c r="B1" s="391"/>
      <c r="C1" s="391"/>
      <c r="D1" s="391"/>
      <c r="E1" s="391"/>
      <c r="F1" s="392"/>
      <c r="G1" s="80" t="s">
        <v>97</v>
      </c>
      <c r="H1" s="81"/>
      <c r="I1" s="81"/>
      <c r="J1" s="81"/>
      <c r="K1" s="81"/>
      <c r="L1" s="81"/>
      <c r="M1" s="82"/>
      <c r="N1" s="83" t="s">
        <v>23</v>
      </c>
      <c r="O1" s="84"/>
      <c r="P1" s="84"/>
      <c r="Q1" s="85"/>
      <c r="R1" s="80" t="str">
        <f>仕様概要!R1</f>
        <v>shipping</v>
      </c>
      <c r="S1" s="86"/>
      <c r="T1" s="86"/>
      <c r="U1" s="86"/>
      <c r="V1" s="86"/>
      <c r="W1" s="86"/>
      <c r="X1" s="86"/>
      <c r="Y1" s="86"/>
      <c r="Z1" s="83" t="s">
        <v>24</v>
      </c>
      <c r="AA1" s="84"/>
      <c r="AB1" s="84"/>
      <c r="AC1" s="84"/>
      <c r="AD1" s="446" t="str">
        <f>仕様概要!AD1</f>
        <v>CsvBillingSummaryDataOkaken</v>
      </c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8"/>
      <c r="AR1" s="448"/>
      <c r="AS1" s="448"/>
      <c r="AT1" s="448"/>
      <c r="AU1" s="448"/>
      <c r="AV1" s="449"/>
      <c r="AW1" s="403" t="s">
        <v>25</v>
      </c>
      <c r="AX1" s="404"/>
      <c r="AY1" s="405"/>
      <c r="AZ1" s="186" t="s">
        <v>128</v>
      </c>
      <c r="BA1" s="86"/>
      <c r="BB1" s="86"/>
      <c r="BC1" s="87"/>
      <c r="BD1" s="88"/>
      <c r="BE1" s="403" t="s">
        <v>26</v>
      </c>
      <c r="BF1" s="404"/>
      <c r="BG1" s="405"/>
      <c r="BH1" s="406">
        <v>45397</v>
      </c>
      <c r="BI1" s="407"/>
      <c r="BJ1" s="407"/>
      <c r="BK1" s="408"/>
      <c r="BL1" s="409"/>
      <c r="BM1" s="410"/>
      <c r="BN1" s="411"/>
    </row>
    <row r="2" spans="1:67" s="1" customFormat="1" ht="13.5" customHeight="1">
      <c r="A2" s="393"/>
      <c r="B2" s="394"/>
      <c r="C2" s="394"/>
      <c r="D2" s="394"/>
      <c r="E2" s="394"/>
      <c r="F2" s="395"/>
      <c r="G2" s="101" t="s">
        <v>98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250" t="str">
        <f>仕様概要!R2</f>
        <v>出荷管理</v>
      </c>
      <c r="S2" s="102"/>
      <c r="T2" s="102"/>
      <c r="U2" s="102"/>
      <c r="V2" s="102"/>
      <c r="W2" s="102"/>
      <c r="X2" s="102"/>
      <c r="Y2" s="102"/>
      <c r="Z2" s="10" t="s">
        <v>29</v>
      </c>
      <c r="AA2" s="4"/>
      <c r="AB2" s="4"/>
      <c r="AC2" s="4"/>
      <c r="AD2" s="250" t="s">
        <v>292</v>
      </c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3"/>
      <c r="AR2" s="103"/>
      <c r="AS2" s="103"/>
      <c r="AT2" s="103"/>
      <c r="AU2" s="103"/>
      <c r="AV2" s="103"/>
      <c r="AW2" s="415" t="s">
        <v>30</v>
      </c>
      <c r="AX2" s="416"/>
      <c r="AY2" s="417"/>
      <c r="AZ2" s="105" t="s">
        <v>307</v>
      </c>
      <c r="BA2" s="102"/>
      <c r="BB2" s="102"/>
      <c r="BC2" s="87"/>
      <c r="BD2" s="88"/>
      <c r="BE2" s="415" t="s">
        <v>31</v>
      </c>
      <c r="BF2" s="416"/>
      <c r="BG2" s="417"/>
      <c r="BH2" s="418">
        <v>45409</v>
      </c>
      <c r="BI2" s="419"/>
      <c r="BJ2" s="419"/>
      <c r="BK2" s="420"/>
      <c r="BL2" s="412"/>
      <c r="BM2" s="413"/>
      <c r="BN2" s="414"/>
    </row>
    <row r="3" spans="1:67" s="2" customFormat="1" ht="13.5" customHeight="1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</row>
    <row r="4" spans="1:67" s="8" customFormat="1" ht="13.5" customHeight="1">
      <c r="B4" s="9" t="s">
        <v>99</v>
      </c>
      <c r="C4" s="9"/>
      <c r="D4" s="9"/>
      <c r="E4" s="9"/>
      <c r="F4" s="9"/>
      <c r="G4" s="9"/>
      <c r="H4" s="9"/>
      <c r="I4" s="9"/>
      <c r="J4" s="9"/>
      <c r="K4" s="9"/>
      <c r="L4" s="9"/>
      <c r="M4" s="153"/>
      <c r="N4" s="153"/>
      <c r="O4" s="153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3"/>
      <c r="AP4" s="153"/>
      <c r="AR4" s="153"/>
      <c r="AS4" s="153"/>
      <c r="AT4" s="154"/>
      <c r="AU4" s="154"/>
      <c r="AV4" s="154"/>
      <c r="AW4" s="154"/>
      <c r="AX4" s="154"/>
      <c r="AY4" s="154"/>
      <c r="BM4" s="153"/>
      <c r="BO4" s="176" t="s">
        <v>248</v>
      </c>
    </row>
    <row r="5" spans="1:67" s="3" customFormat="1" ht="13.5" customHeight="1">
      <c r="B5" s="155"/>
      <c r="C5"/>
      <c r="D5"/>
      <c r="E5"/>
      <c r="F5"/>
      <c r="G5"/>
      <c r="H5"/>
      <c r="I5"/>
      <c r="J5"/>
      <c r="K5"/>
      <c r="L5"/>
      <c r="M5" s="156"/>
      <c r="N5" s="156"/>
      <c r="O5" s="15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56"/>
      <c r="AP5" s="156"/>
      <c r="AR5" s="156"/>
      <c r="AS5" s="156"/>
      <c r="AT5" s="2"/>
      <c r="AU5" s="2"/>
      <c r="AV5" s="2"/>
      <c r="AW5" s="2"/>
      <c r="AX5" s="2"/>
      <c r="AY5" s="2"/>
      <c r="BM5" s="156"/>
      <c r="BO5" s="157"/>
    </row>
    <row r="6" spans="1:67" s="3" customFormat="1" ht="13.5" customHeight="1">
      <c r="B6"/>
      <c r="C6" t="s">
        <v>100</v>
      </c>
      <c r="D6"/>
      <c r="E6"/>
      <c r="F6"/>
      <c r="G6"/>
      <c r="H6"/>
      <c r="I6"/>
      <c r="J6"/>
      <c r="K6"/>
      <c r="L6"/>
      <c r="M6" s="156"/>
      <c r="N6" s="156"/>
      <c r="O6" s="15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56"/>
      <c r="AR6" s="156"/>
      <c r="AS6" s="156"/>
      <c r="AT6" s="2"/>
      <c r="AU6" s="2"/>
      <c r="AV6" s="2"/>
      <c r="AW6" s="2"/>
      <c r="AX6" s="2"/>
      <c r="AY6" s="2"/>
      <c r="BM6" s="156"/>
      <c r="BO6" s="159"/>
    </row>
    <row r="7" spans="1:67" s="3" customFormat="1" ht="13.5" customHeight="1">
      <c r="B7" s="155"/>
      <c r="C7"/>
      <c r="D7" t="s">
        <v>337</v>
      </c>
      <c r="E7"/>
      <c r="F7"/>
      <c r="G7"/>
      <c r="H7"/>
      <c r="I7"/>
      <c r="J7"/>
      <c r="K7"/>
      <c r="L7"/>
      <c r="M7" s="156"/>
      <c r="N7" s="156"/>
      <c r="O7" s="15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56"/>
      <c r="AR7" s="156"/>
      <c r="AS7" s="156"/>
      <c r="AT7" s="2"/>
      <c r="AU7" s="2"/>
      <c r="AV7" s="2"/>
      <c r="AW7" s="2"/>
      <c r="AX7" s="2"/>
      <c r="AY7" s="2"/>
      <c r="BM7" s="156"/>
    </row>
    <row r="8" spans="1:67" s="3" customFormat="1" ht="13.5" customHeight="1">
      <c r="B8" s="155"/>
      <c r="C8"/>
      <c r="D8"/>
      <c r="E8" t="s">
        <v>338</v>
      </c>
      <c r="F8"/>
      <c r="G8"/>
      <c r="H8"/>
      <c r="I8"/>
      <c r="J8"/>
      <c r="K8"/>
      <c r="L8"/>
      <c r="M8" s="156"/>
      <c r="N8" s="156"/>
      <c r="O8" s="15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56"/>
      <c r="AR8" s="156"/>
      <c r="AS8" s="156"/>
      <c r="AT8" s="2"/>
      <c r="AU8" s="2"/>
      <c r="AV8" s="2"/>
      <c r="AW8" s="2"/>
      <c r="AX8" s="2"/>
      <c r="AY8" s="2"/>
      <c r="BM8" s="156"/>
    </row>
    <row r="9" spans="1:67" s="3" customFormat="1" ht="13.5" customHeight="1">
      <c r="B9" s="155"/>
      <c r="C9"/>
      <c r="D9"/>
      <c r="E9"/>
      <c r="F9"/>
      <c r="G9"/>
      <c r="H9"/>
      <c r="I9"/>
      <c r="J9"/>
      <c r="K9"/>
      <c r="L9"/>
      <c r="M9" s="156"/>
      <c r="N9" s="156"/>
      <c r="O9" s="15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M9" s="156"/>
      <c r="BO9"/>
    </row>
    <row r="10" spans="1:67" s="3" customFormat="1" ht="13.5" customHeight="1">
      <c r="B10" s="155"/>
      <c r="C10"/>
      <c r="D10" s="3" t="s">
        <v>101</v>
      </c>
      <c r="F10"/>
      <c r="G10"/>
      <c r="H10"/>
      <c r="I10"/>
      <c r="J10"/>
      <c r="K10"/>
      <c r="L10"/>
      <c r="M10" s="156"/>
      <c r="N10" s="156"/>
      <c r="O10" s="15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M10" s="156"/>
      <c r="BO10" s="19"/>
    </row>
    <row r="11" spans="1:67" ht="13"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O11" s="3"/>
    </row>
    <row r="12" spans="1:67" s="3" customFormat="1" ht="13.5" customHeight="1">
      <c r="B12"/>
      <c r="C12" t="s">
        <v>102</v>
      </c>
      <c r="D12"/>
      <c r="E12"/>
      <c r="F12"/>
      <c r="G12"/>
      <c r="H12"/>
      <c r="I12"/>
      <c r="J12"/>
      <c r="K12"/>
      <c r="L12"/>
      <c r="M12" s="156"/>
      <c r="N12" s="156"/>
      <c r="O12" s="15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56"/>
      <c r="AR12" s="156"/>
      <c r="AS12" s="156"/>
      <c r="AT12" s="2"/>
      <c r="AU12" s="2"/>
      <c r="AV12" s="2"/>
      <c r="AW12" s="2"/>
      <c r="AX12" s="2"/>
      <c r="AY12" s="2"/>
      <c r="BM12" s="156"/>
      <c r="BO12" s="159" t="s">
        <v>342</v>
      </c>
    </row>
    <row r="13" spans="1:67" s="3" customFormat="1" ht="13.5" customHeight="1">
      <c r="B13" s="155"/>
      <c r="C13"/>
      <c r="D13" t="s">
        <v>339</v>
      </c>
      <c r="E13"/>
      <c r="F13"/>
      <c r="G13"/>
      <c r="H13"/>
      <c r="I13"/>
      <c r="J13"/>
      <c r="K13"/>
      <c r="L13"/>
      <c r="M13" s="156"/>
      <c r="N13" s="156"/>
      <c r="O13" s="15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56"/>
      <c r="AR13" s="156"/>
      <c r="AS13" s="156"/>
      <c r="AT13" s="2"/>
      <c r="AU13" s="2"/>
      <c r="AV13" s="2"/>
      <c r="AW13" s="2"/>
      <c r="AX13" s="2"/>
      <c r="AY13" s="2"/>
      <c r="BM13" s="156"/>
      <c r="BO13" s="157"/>
    </row>
    <row r="14" spans="1:67" s="3" customFormat="1" ht="13.5" customHeight="1">
      <c r="B14" s="155"/>
      <c r="C14"/>
      <c r="E14" t="s">
        <v>340</v>
      </c>
      <c r="F14"/>
      <c r="G14"/>
      <c r="H14"/>
      <c r="I14"/>
      <c r="J14"/>
      <c r="K14"/>
      <c r="L14"/>
      <c r="M14" s="156"/>
      <c r="N14" s="156"/>
      <c r="O14" s="15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56"/>
      <c r="AR14" s="156"/>
      <c r="AS14" s="156"/>
      <c r="AT14" s="2"/>
      <c r="AU14" s="2"/>
      <c r="AV14" s="2"/>
      <c r="AW14" s="2"/>
      <c r="AX14" s="2"/>
      <c r="AY14" s="2"/>
      <c r="BM14" s="156"/>
      <c r="BO14" s="19"/>
    </row>
    <row r="15" spans="1:67" ht="13"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BO15" s="3"/>
    </row>
    <row r="16" spans="1:67" s="3" customFormat="1" ht="13.5" customHeight="1">
      <c r="B16"/>
      <c r="C16" t="s">
        <v>103</v>
      </c>
      <c r="D16"/>
      <c r="E16"/>
      <c r="F16"/>
      <c r="G16"/>
      <c r="H16"/>
      <c r="I16"/>
      <c r="J16"/>
      <c r="K16"/>
      <c r="L16"/>
      <c r="M16" s="156"/>
      <c r="N16" s="156"/>
      <c r="O16" s="15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56"/>
      <c r="AR16" s="156"/>
      <c r="AS16" s="156"/>
      <c r="AT16" s="2"/>
      <c r="AU16" s="2"/>
      <c r="AV16" s="2"/>
      <c r="AW16" s="2"/>
      <c r="AX16" s="2"/>
      <c r="AY16" s="2"/>
      <c r="BM16" s="156"/>
      <c r="BO16" s="159" t="s">
        <v>342</v>
      </c>
    </row>
    <row r="17" spans="2:65" s="3" customFormat="1" ht="13.5" customHeight="1">
      <c r="B17" s="155"/>
      <c r="C17"/>
      <c r="D17" t="s">
        <v>104</v>
      </c>
      <c r="E17"/>
      <c r="F17"/>
      <c r="G17"/>
      <c r="H17"/>
      <c r="I17"/>
      <c r="J17"/>
      <c r="K17"/>
      <c r="L17"/>
      <c r="M17" s="156"/>
      <c r="N17" s="156"/>
      <c r="O17" s="15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56"/>
      <c r="AR17" s="156"/>
      <c r="AS17" s="156"/>
      <c r="AT17" s="2"/>
      <c r="AU17" s="2"/>
      <c r="AV17" s="2"/>
      <c r="AW17" s="2"/>
      <c r="AX17" s="2"/>
      <c r="AY17" s="2"/>
      <c r="BM17" s="156"/>
    </row>
    <row r="18" spans="2:65" s="3" customFormat="1" ht="13.5" customHeight="1">
      <c r="B18" s="158"/>
      <c r="C18" s="106"/>
      <c r="D18" s="106"/>
      <c r="E18" s="106" t="s">
        <v>341</v>
      </c>
      <c r="F18" s="106"/>
      <c r="G18" s="106"/>
      <c r="H18" s="106"/>
      <c r="I18" s="106"/>
      <c r="J18" s="106"/>
      <c r="K18" s="106"/>
      <c r="L18" s="106"/>
      <c r="M18" s="157"/>
      <c r="N18" s="157"/>
      <c r="O18" s="15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57"/>
      <c r="AQ18" s="159"/>
      <c r="AR18" s="157"/>
      <c r="AS18" s="157"/>
      <c r="AT18" s="177"/>
      <c r="AU18" s="177"/>
      <c r="AV18" s="177"/>
      <c r="AW18" s="177"/>
      <c r="AX18" s="177"/>
      <c r="AY18" s="177"/>
      <c r="AZ18" s="159"/>
      <c r="BA18" s="159"/>
      <c r="BB18" s="159"/>
      <c r="BC18" s="159"/>
      <c r="BM18" s="156"/>
    </row>
    <row r="19" spans="2:65" s="3" customFormat="1" ht="13.5" customHeight="1">
      <c r="B19" s="155"/>
      <c r="C19"/>
      <c r="E19"/>
      <c r="F19"/>
      <c r="G19"/>
      <c r="H19"/>
      <c r="I19"/>
      <c r="J19"/>
      <c r="K19"/>
      <c r="L19"/>
      <c r="M19" s="156"/>
      <c r="N19" s="156"/>
      <c r="O19" s="15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56"/>
      <c r="AR19" s="156"/>
      <c r="AS19" s="156"/>
      <c r="AT19" s="2"/>
      <c r="AU19" s="2"/>
      <c r="AV19" s="2"/>
      <c r="AW19" s="2"/>
      <c r="AX19" s="2"/>
      <c r="AY19" s="2"/>
      <c r="BM19" s="156"/>
    </row>
  </sheetData>
  <mergeCells count="8">
    <mergeCell ref="A1:F2"/>
    <mergeCell ref="AW1:AY1"/>
    <mergeCell ref="BE1:BG1"/>
    <mergeCell ref="BH1:BK1"/>
    <mergeCell ref="BL1:BN2"/>
    <mergeCell ref="AW2:AY2"/>
    <mergeCell ref="BE2:BG2"/>
    <mergeCell ref="BH2:BK2"/>
  </mergeCells>
  <phoneticPr fontId="4"/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O142"/>
  <sheetViews>
    <sheetView showGridLines="0" view="pageBreakPreview" zoomScaleNormal="70" zoomScaleSheetLayoutView="100" workbookViewId="0">
      <selection activeCell="AD1" sqref="AD1"/>
    </sheetView>
  </sheetViews>
  <sheetFormatPr defaultColWidth="2.6328125" defaultRowHeight="12.75" customHeight="1"/>
  <cols>
    <col min="21" max="21" width="2.6328125" customWidth="1"/>
    <col min="31" max="31" width="2.6328125" customWidth="1"/>
  </cols>
  <sheetData>
    <row r="1" spans="1:67" s="1" customFormat="1" ht="13.5" customHeight="1">
      <c r="A1" s="390" t="s">
        <v>21</v>
      </c>
      <c r="B1" s="391"/>
      <c r="C1" s="391"/>
      <c r="D1" s="391"/>
      <c r="E1" s="391"/>
      <c r="F1" s="392"/>
      <c r="G1" s="80" t="str">
        <f>仕様概要!G1</f>
        <v>パッケージ仕様書</v>
      </c>
      <c r="H1" s="81"/>
      <c r="I1" s="81"/>
      <c r="J1" s="81"/>
      <c r="K1" s="81"/>
      <c r="L1" s="81"/>
      <c r="M1" s="82"/>
      <c r="N1" s="83" t="s">
        <v>23</v>
      </c>
      <c r="O1" s="84"/>
      <c r="P1" s="84"/>
      <c r="Q1" s="85"/>
      <c r="R1" s="80" t="str">
        <f>仕様概要!R1</f>
        <v>shipping</v>
      </c>
      <c r="S1" s="86"/>
      <c r="T1" s="86"/>
      <c r="U1" s="86"/>
      <c r="V1" s="86"/>
      <c r="W1" s="86"/>
      <c r="X1" s="86"/>
      <c r="Y1" s="86"/>
      <c r="Z1" s="83" t="s">
        <v>24</v>
      </c>
      <c r="AA1" s="84"/>
      <c r="AB1" s="84"/>
      <c r="AC1" s="84"/>
      <c r="AD1" s="80" t="str">
        <f>仕様概要!AD1</f>
        <v>CsvBillingSummaryDataOkaken</v>
      </c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93"/>
      <c r="AR1" s="93"/>
      <c r="AS1" s="93"/>
      <c r="AT1" s="93"/>
      <c r="AU1" s="93"/>
      <c r="AV1" s="94"/>
      <c r="AW1" s="403" t="s">
        <v>25</v>
      </c>
      <c r="AX1" s="404"/>
      <c r="AY1" s="405"/>
      <c r="AZ1" s="186" t="s">
        <v>128</v>
      </c>
      <c r="BA1" s="86"/>
      <c r="BB1" s="86"/>
      <c r="BC1" s="87"/>
      <c r="BD1" s="88"/>
      <c r="BE1" s="403" t="s">
        <v>26</v>
      </c>
      <c r="BF1" s="404"/>
      <c r="BG1" s="405"/>
      <c r="BH1" s="406">
        <v>45397</v>
      </c>
      <c r="BI1" s="407"/>
      <c r="BJ1" s="407"/>
      <c r="BK1" s="408"/>
      <c r="BL1" s="409"/>
      <c r="BM1" s="410"/>
      <c r="BN1" s="411"/>
    </row>
    <row r="2" spans="1:67" s="1" customFormat="1" ht="13.5" customHeight="1">
      <c r="A2" s="393"/>
      <c r="B2" s="394"/>
      <c r="C2" s="394"/>
      <c r="D2" s="394"/>
      <c r="E2" s="394"/>
      <c r="F2" s="395"/>
      <c r="G2" s="17" t="s">
        <v>70</v>
      </c>
      <c r="H2" s="6"/>
      <c r="I2" s="6"/>
      <c r="J2" s="6"/>
      <c r="K2" s="6"/>
      <c r="L2" s="6"/>
      <c r="M2" s="7"/>
      <c r="N2" s="10" t="s">
        <v>28</v>
      </c>
      <c r="O2" s="4"/>
      <c r="P2" s="4"/>
      <c r="Q2" s="5"/>
      <c r="R2" s="186" t="str">
        <f>仕様概要!R2</f>
        <v>出荷管理</v>
      </c>
      <c r="S2" s="18"/>
      <c r="T2" s="18"/>
      <c r="U2" s="18"/>
      <c r="V2" s="18"/>
      <c r="W2" s="18"/>
      <c r="X2" s="18"/>
      <c r="Y2" s="18"/>
      <c r="Z2" s="10" t="s">
        <v>29</v>
      </c>
      <c r="AA2" s="4"/>
      <c r="AB2" s="4"/>
      <c r="AC2" s="4"/>
      <c r="AD2" s="186" t="str">
        <f>仕様概要!AD2</f>
        <v>岡山県貨物運送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6"/>
      <c r="AR2" s="16"/>
      <c r="AS2" s="16"/>
      <c r="AT2" s="16"/>
      <c r="AU2" s="16"/>
      <c r="AV2" s="16"/>
      <c r="AW2" s="415" t="s">
        <v>30</v>
      </c>
      <c r="AX2" s="416"/>
      <c r="AY2" s="417"/>
      <c r="AZ2" s="105" t="s">
        <v>307</v>
      </c>
      <c r="BA2" s="102"/>
      <c r="BB2" s="102"/>
      <c r="BC2" s="87"/>
      <c r="BD2" s="88"/>
      <c r="BE2" s="415" t="s">
        <v>31</v>
      </c>
      <c r="BF2" s="416"/>
      <c r="BG2" s="417"/>
      <c r="BH2" s="418">
        <v>45409</v>
      </c>
      <c r="BI2" s="419"/>
      <c r="BJ2" s="419"/>
      <c r="BK2" s="420"/>
      <c r="BL2" s="412"/>
      <c r="BM2" s="413"/>
      <c r="BN2" s="414"/>
    </row>
    <row r="3" spans="1:67" s="2" customFormat="1" ht="13.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</row>
    <row r="4" spans="1:67" s="2" customFormat="1" ht="13.5" customHeight="1">
      <c r="B4" s="153" t="s">
        <v>105</v>
      </c>
      <c r="C4" s="156"/>
      <c r="H4" s="288" t="s">
        <v>365</v>
      </c>
      <c r="I4" s="289"/>
      <c r="J4" s="289"/>
      <c r="K4" s="289"/>
      <c r="L4" s="289"/>
      <c r="M4" s="289"/>
      <c r="N4" s="289"/>
      <c r="O4" s="289"/>
      <c r="P4" s="289"/>
    </row>
    <row r="5" spans="1:67" s="2" customFormat="1" ht="13.5" customHeight="1">
      <c r="B5" s="153"/>
      <c r="C5" s="156"/>
      <c r="H5" s="157"/>
    </row>
    <row r="6" spans="1:67" s="2" customFormat="1" ht="13.5" customHeight="1">
      <c r="C6" s="433"/>
      <c r="D6" s="433"/>
      <c r="E6" s="433"/>
      <c r="F6" s="434" t="s">
        <v>44</v>
      </c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 t="s">
        <v>71</v>
      </c>
      <c r="T6" s="434"/>
      <c r="U6" s="434"/>
      <c r="V6" s="434"/>
      <c r="W6" s="434"/>
      <c r="X6" s="434"/>
      <c r="Y6" s="434"/>
      <c r="Z6" s="434"/>
      <c r="AA6" s="434"/>
      <c r="AB6" s="434"/>
      <c r="AC6" s="434"/>
      <c r="AD6" s="434"/>
      <c r="AE6" s="434"/>
      <c r="AF6" s="435" t="s">
        <v>72</v>
      </c>
      <c r="AG6" s="436"/>
      <c r="AH6" s="436"/>
      <c r="AI6" s="436"/>
      <c r="AJ6" s="436"/>
      <c r="AK6" s="436"/>
      <c r="AL6" s="436"/>
      <c r="AM6" s="436"/>
      <c r="AN6" s="436"/>
      <c r="AO6" s="436"/>
      <c r="AP6" s="436"/>
      <c r="AQ6" s="436"/>
      <c r="AR6" s="436"/>
      <c r="AS6" s="436"/>
      <c r="AT6" s="436"/>
      <c r="AU6" s="436"/>
      <c r="AV6" s="436"/>
      <c r="AW6" s="436"/>
      <c r="AX6" s="436"/>
      <c r="AY6" s="436"/>
      <c r="AZ6" s="436"/>
      <c r="BA6" s="436"/>
      <c r="BB6" s="436"/>
      <c r="BC6" s="437"/>
    </row>
    <row r="7" spans="1:67" s="2" customFormat="1" ht="13.5" customHeight="1">
      <c r="C7" s="433"/>
      <c r="D7" s="433"/>
      <c r="E7" s="433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  <c r="AA7" s="434"/>
      <c r="AB7" s="434"/>
      <c r="AC7" s="434"/>
      <c r="AD7" s="434"/>
      <c r="AE7" s="434"/>
      <c r="AF7" s="438"/>
      <c r="AG7" s="439"/>
      <c r="AH7" s="439"/>
      <c r="AI7" s="439"/>
      <c r="AJ7" s="439"/>
      <c r="AK7" s="439"/>
      <c r="AL7" s="439"/>
      <c r="AM7" s="439"/>
      <c r="AN7" s="439"/>
      <c r="AO7" s="439"/>
      <c r="AP7" s="439"/>
      <c r="AQ7" s="439"/>
      <c r="AR7" s="439"/>
      <c r="AS7" s="439"/>
      <c r="AT7" s="439"/>
      <c r="AU7" s="439"/>
      <c r="AV7" s="439"/>
      <c r="AW7" s="439"/>
      <c r="AX7" s="439"/>
      <c r="AY7" s="439"/>
      <c r="AZ7" s="439"/>
      <c r="BA7" s="439"/>
      <c r="BB7" s="439"/>
      <c r="BC7" s="440"/>
    </row>
    <row r="8" spans="1:67" s="3" customFormat="1" ht="13.5" customHeight="1">
      <c r="B8" s="2"/>
      <c r="C8" s="430" t="s">
        <v>48</v>
      </c>
      <c r="D8" s="431"/>
      <c r="E8" s="432"/>
      <c r="F8" s="217" t="s">
        <v>250</v>
      </c>
      <c r="G8" s="168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70"/>
      <c r="S8" s="165" t="s">
        <v>69</v>
      </c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5" t="s">
        <v>69</v>
      </c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75"/>
      <c r="BD8" s="159" t="s">
        <v>106</v>
      </c>
      <c r="BO8" s="159" t="s">
        <v>404</v>
      </c>
    </row>
    <row r="9" spans="1:67" s="3" customFormat="1" ht="13.5" customHeight="1">
      <c r="B9" s="2"/>
      <c r="C9" s="430" t="s">
        <v>48</v>
      </c>
      <c r="D9" s="431"/>
      <c r="E9" s="431"/>
      <c r="F9" s="217" t="s">
        <v>251</v>
      </c>
      <c r="G9" s="160"/>
      <c r="H9" s="86"/>
      <c r="I9" s="86"/>
      <c r="J9" s="86"/>
      <c r="K9" s="86"/>
      <c r="L9" s="90"/>
      <c r="M9" s="86"/>
      <c r="N9" s="86"/>
      <c r="O9" s="86"/>
      <c r="P9" s="86"/>
      <c r="Q9" s="86"/>
      <c r="R9" s="95"/>
      <c r="S9" s="105" t="s">
        <v>381</v>
      </c>
      <c r="T9" s="160"/>
      <c r="U9" s="160"/>
      <c r="V9" s="160"/>
      <c r="W9" s="160"/>
      <c r="X9" s="160"/>
      <c r="Y9" s="161"/>
      <c r="Z9" s="160"/>
      <c r="AA9" s="160"/>
      <c r="AB9" s="160"/>
      <c r="AC9" s="160"/>
      <c r="AD9" s="160"/>
      <c r="AE9" s="160"/>
      <c r="AF9" s="165" t="s">
        <v>69</v>
      </c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4"/>
    </row>
    <row r="10" spans="1:67" s="3" customFormat="1" ht="13.5" customHeight="1">
      <c r="B10" s="2"/>
      <c r="C10" s="430" t="s">
        <v>48</v>
      </c>
      <c r="D10" s="431"/>
      <c r="E10" s="432"/>
      <c r="F10" s="217" t="s">
        <v>252</v>
      </c>
      <c r="G10" s="160"/>
      <c r="H10" s="86"/>
      <c r="I10" s="86"/>
      <c r="J10" s="86"/>
      <c r="K10" s="86"/>
      <c r="L10" s="90"/>
      <c r="M10" s="86"/>
      <c r="N10" s="86"/>
      <c r="O10" s="86"/>
      <c r="P10" s="86"/>
      <c r="Q10" s="86"/>
      <c r="R10" s="95"/>
      <c r="S10" s="105" t="s">
        <v>380</v>
      </c>
      <c r="T10" s="160"/>
      <c r="U10" s="160"/>
      <c r="V10" s="160"/>
      <c r="W10" s="160"/>
      <c r="X10" s="160"/>
      <c r="Y10" s="161"/>
      <c r="Z10" s="160"/>
      <c r="AA10" s="160"/>
      <c r="AB10" s="160"/>
      <c r="AC10" s="160"/>
      <c r="AD10" s="160"/>
      <c r="AE10" s="160"/>
      <c r="AF10" s="162" t="s">
        <v>366</v>
      </c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6"/>
    </row>
    <row r="11" spans="1:67" s="3" customFormat="1" ht="13.5" customHeight="1">
      <c r="B11" s="2"/>
      <c r="C11" s="430" t="s">
        <v>48</v>
      </c>
      <c r="D11" s="431"/>
      <c r="E11" s="432"/>
      <c r="F11" s="217" t="s">
        <v>253</v>
      </c>
      <c r="G11" s="160"/>
      <c r="H11" s="86"/>
      <c r="I11" s="86"/>
      <c r="J11" s="86"/>
      <c r="K11" s="86"/>
      <c r="L11" s="90"/>
      <c r="M11" s="86"/>
      <c r="N11" s="86"/>
      <c r="O11" s="86"/>
      <c r="P11" s="86"/>
      <c r="Q11" s="86"/>
      <c r="R11" s="95"/>
      <c r="S11" s="105" t="s">
        <v>379</v>
      </c>
      <c r="T11" s="160"/>
      <c r="U11" s="160"/>
      <c r="V11" s="160"/>
      <c r="W11" s="160"/>
      <c r="X11" s="160"/>
      <c r="Y11" s="161"/>
      <c r="Z11" s="160"/>
      <c r="AA11" s="160"/>
      <c r="AB11" s="160"/>
      <c r="AC11" s="160"/>
      <c r="AD11" s="160"/>
      <c r="AE11" s="160"/>
      <c r="AF11" s="293"/>
      <c r="AG11" s="294"/>
      <c r="AH11" s="294"/>
      <c r="AI11" s="294"/>
      <c r="AJ11" s="294"/>
      <c r="AK11" s="294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2"/>
    </row>
    <row r="12" spans="1:67" s="3" customFormat="1" ht="13.5" customHeight="1">
      <c r="B12" s="2"/>
      <c r="C12" s="430" t="s">
        <v>48</v>
      </c>
      <c r="D12" s="431"/>
      <c r="E12" s="432"/>
      <c r="F12" s="217" t="s">
        <v>254</v>
      </c>
      <c r="G12" s="168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70"/>
      <c r="S12" s="167" t="s">
        <v>378</v>
      </c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5" t="s">
        <v>367</v>
      </c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75"/>
      <c r="BD12" s="159"/>
    </row>
    <row r="13" spans="1:67" s="3" customFormat="1" ht="13.5" customHeight="1">
      <c r="B13" s="2"/>
      <c r="C13" s="430" t="s">
        <v>48</v>
      </c>
      <c r="D13" s="431"/>
      <c r="E13" s="431"/>
      <c r="F13" s="217" t="s">
        <v>255</v>
      </c>
      <c r="G13" s="160"/>
      <c r="H13" s="86"/>
      <c r="I13" s="86"/>
      <c r="J13" s="86"/>
      <c r="K13" s="86"/>
      <c r="L13" s="90"/>
      <c r="M13" s="86"/>
      <c r="N13" s="86"/>
      <c r="O13" s="86"/>
      <c r="P13" s="86"/>
      <c r="Q13" s="86"/>
      <c r="R13" s="95"/>
      <c r="S13" s="105" t="s">
        <v>377</v>
      </c>
      <c r="T13" s="160"/>
      <c r="U13" s="160"/>
      <c r="V13" s="160"/>
      <c r="W13" s="160"/>
      <c r="X13" s="160"/>
      <c r="Y13" s="161"/>
      <c r="Z13" s="160"/>
      <c r="AA13" s="160"/>
      <c r="AB13" s="160"/>
      <c r="AC13" s="160"/>
      <c r="AD13" s="160"/>
      <c r="AE13" s="160"/>
      <c r="AF13" s="165" t="s">
        <v>69</v>
      </c>
      <c r="AG13" s="160"/>
      <c r="AH13" s="160"/>
      <c r="AI13" s="160"/>
      <c r="AJ13" s="160"/>
      <c r="AK13" s="160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4"/>
    </row>
    <row r="14" spans="1:67" s="3" customFormat="1" ht="13.5" customHeight="1">
      <c r="B14" s="2"/>
      <c r="C14" s="430" t="s">
        <v>48</v>
      </c>
      <c r="D14" s="431"/>
      <c r="E14" s="432"/>
      <c r="F14" s="217" t="s">
        <v>256</v>
      </c>
      <c r="G14" s="160"/>
      <c r="H14" s="86"/>
      <c r="I14" s="86"/>
      <c r="J14" s="86"/>
      <c r="K14" s="86"/>
      <c r="L14" s="90"/>
      <c r="M14" s="86"/>
      <c r="N14" s="86"/>
      <c r="O14" s="86"/>
      <c r="P14" s="86"/>
      <c r="Q14" s="86"/>
      <c r="R14" s="95"/>
      <c r="S14" s="105" t="s">
        <v>405</v>
      </c>
      <c r="T14" s="160"/>
      <c r="U14" s="160"/>
      <c r="V14" s="160"/>
      <c r="W14" s="160"/>
      <c r="X14" s="160"/>
      <c r="Y14" s="161"/>
      <c r="Z14" s="160"/>
      <c r="AA14" s="160"/>
      <c r="AB14" s="160"/>
      <c r="AC14" s="160"/>
      <c r="AD14" s="160"/>
      <c r="AE14" s="160"/>
      <c r="AF14" s="165" t="s">
        <v>69</v>
      </c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6"/>
    </row>
    <row r="15" spans="1:67" s="3" customFormat="1" ht="13.5" customHeight="1">
      <c r="B15" s="2"/>
      <c r="C15" s="430" t="s">
        <v>48</v>
      </c>
      <c r="D15" s="431"/>
      <c r="E15" s="432"/>
      <c r="F15" s="217" t="s">
        <v>257</v>
      </c>
      <c r="G15" s="160"/>
      <c r="H15" s="86"/>
      <c r="I15" s="86"/>
      <c r="J15" s="86"/>
      <c r="K15" s="86"/>
      <c r="L15" s="90"/>
      <c r="M15" s="86"/>
      <c r="N15" s="86"/>
      <c r="O15" s="86"/>
      <c r="P15" s="86"/>
      <c r="Q15" s="86"/>
      <c r="R15" s="95"/>
      <c r="S15" s="105" t="s">
        <v>406</v>
      </c>
      <c r="T15" s="160"/>
      <c r="U15" s="160"/>
      <c r="V15" s="160"/>
      <c r="W15" s="160"/>
      <c r="X15" s="160"/>
      <c r="Y15" s="161"/>
      <c r="Z15" s="160"/>
      <c r="AA15" s="160"/>
      <c r="AB15" s="160"/>
      <c r="AC15" s="160"/>
      <c r="AD15" s="160"/>
      <c r="AE15" s="160"/>
      <c r="AF15" s="421" t="s">
        <v>514</v>
      </c>
      <c r="AG15" s="422"/>
      <c r="AH15" s="422"/>
      <c r="AI15" s="422"/>
      <c r="AJ15" s="422"/>
      <c r="AK15" s="422"/>
      <c r="AL15" s="422"/>
      <c r="AM15" s="422"/>
      <c r="AN15" s="422"/>
      <c r="AO15" s="422"/>
      <c r="AP15" s="422"/>
      <c r="AQ15" s="422"/>
      <c r="AR15" s="422"/>
      <c r="AS15" s="422"/>
      <c r="AT15" s="422"/>
      <c r="AU15" s="422"/>
      <c r="AV15" s="422"/>
      <c r="AW15" s="422"/>
      <c r="AX15" s="422"/>
      <c r="AY15" s="422"/>
      <c r="AZ15" s="422"/>
      <c r="BA15" s="422"/>
      <c r="BB15" s="422"/>
      <c r="BC15" s="423"/>
    </row>
    <row r="16" spans="1:67" s="3" customFormat="1" ht="13.5" customHeight="1">
      <c r="B16" s="2"/>
      <c r="C16" s="430" t="s">
        <v>48</v>
      </c>
      <c r="D16" s="431"/>
      <c r="E16" s="432"/>
      <c r="F16" s="217" t="s">
        <v>258</v>
      </c>
      <c r="G16" s="168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70"/>
      <c r="S16" s="105" t="s">
        <v>408</v>
      </c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424"/>
      <c r="AG16" s="425"/>
      <c r="AH16" s="425"/>
      <c r="AI16" s="425"/>
      <c r="AJ16" s="425"/>
      <c r="AK16" s="425"/>
      <c r="AL16" s="425"/>
      <c r="AM16" s="425"/>
      <c r="AN16" s="425"/>
      <c r="AO16" s="425"/>
      <c r="AP16" s="425"/>
      <c r="AQ16" s="425"/>
      <c r="AR16" s="425"/>
      <c r="AS16" s="425"/>
      <c r="AT16" s="425"/>
      <c r="AU16" s="425"/>
      <c r="AV16" s="425"/>
      <c r="AW16" s="425"/>
      <c r="AX16" s="425"/>
      <c r="AY16" s="425"/>
      <c r="AZ16" s="425"/>
      <c r="BA16" s="425"/>
      <c r="BB16" s="425"/>
      <c r="BC16" s="426"/>
      <c r="BD16" s="159"/>
    </row>
    <row r="17" spans="2:56" s="3" customFormat="1" ht="13.5" customHeight="1">
      <c r="B17" s="2"/>
      <c r="C17" s="430" t="s">
        <v>48</v>
      </c>
      <c r="D17" s="431"/>
      <c r="E17" s="431"/>
      <c r="F17" s="217" t="s">
        <v>259</v>
      </c>
      <c r="G17" s="160"/>
      <c r="H17" s="86"/>
      <c r="I17" s="86"/>
      <c r="J17" s="86"/>
      <c r="K17" s="86"/>
      <c r="L17" s="90"/>
      <c r="M17" s="86"/>
      <c r="N17" s="86"/>
      <c r="O17" s="86"/>
      <c r="P17" s="86"/>
      <c r="Q17" s="86"/>
      <c r="R17" s="95"/>
      <c r="S17" s="105" t="s">
        <v>407</v>
      </c>
      <c r="T17" s="160"/>
      <c r="U17" s="160"/>
      <c r="V17" s="160"/>
      <c r="W17" s="160"/>
      <c r="X17" s="160"/>
      <c r="Y17" s="161"/>
      <c r="Z17" s="160"/>
      <c r="AA17" s="160"/>
      <c r="AB17" s="160"/>
      <c r="AC17" s="160"/>
      <c r="AD17" s="160"/>
      <c r="AE17" s="160"/>
      <c r="AF17" s="427"/>
      <c r="AG17" s="428"/>
      <c r="AH17" s="428"/>
      <c r="AI17" s="428"/>
      <c r="AJ17" s="428"/>
      <c r="AK17" s="428"/>
      <c r="AL17" s="428"/>
      <c r="AM17" s="428"/>
      <c r="AN17" s="428"/>
      <c r="AO17" s="428"/>
      <c r="AP17" s="428"/>
      <c r="AQ17" s="428"/>
      <c r="AR17" s="428"/>
      <c r="AS17" s="428"/>
      <c r="AT17" s="428"/>
      <c r="AU17" s="428"/>
      <c r="AV17" s="428"/>
      <c r="AW17" s="428"/>
      <c r="AX17" s="428"/>
      <c r="AY17" s="428"/>
      <c r="AZ17" s="428"/>
      <c r="BA17" s="428"/>
      <c r="BB17" s="428"/>
      <c r="BC17" s="429"/>
    </row>
    <row r="18" spans="2:56" s="3" customFormat="1" ht="13.5" customHeight="1">
      <c r="B18" s="2"/>
      <c r="C18" s="430" t="s">
        <v>48</v>
      </c>
      <c r="D18" s="431"/>
      <c r="E18" s="432"/>
      <c r="F18" s="217" t="s">
        <v>260</v>
      </c>
      <c r="G18" s="160"/>
      <c r="H18" s="86"/>
      <c r="I18" s="86"/>
      <c r="J18" s="86"/>
      <c r="K18" s="86"/>
      <c r="L18" s="90"/>
      <c r="M18" s="86"/>
      <c r="N18" s="86"/>
      <c r="O18" s="86"/>
      <c r="P18" s="86"/>
      <c r="Q18" s="86"/>
      <c r="R18" s="95"/>
      <c r="S18" s="105" t="s">
        <v>376</v>
      </c>
      <c r="T18" s="160"/>
      <c r="U18" s="160"/>
      <c r="V18" s="160"/>
      <c r="W18" s="160"/>
      <c r="X18" s="160"/>
      <c r="Y18" s="161"/>
      <c r="Z18" s="160"/>
      <c r="AA18" s="160"/>
      <c r="AB18" s="160"/>
      <c r="AC18" s="160"/>
      <c r="AD18" s="160"/>
      <c r="AE18" s="160"/>
      <c r="AF18" s="105" t="s">
        <v>368</v>
      </c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6"/>
    </row>
    <row r="19" spans="2:56" s="3" customFormat="1" ht="13.5" customHeight="1">
      <c r="B19" s="2"/>
      <c r="C19" s="430" t="s">
        <v>48</v>
      </c>
      <c r="D19" s="431"/>
      <c r="E19" s="432"/>
      <c r="F19" s="217" t="s">
        <v>261</v>
      </c>
      <c r="G19" s="160"/>
      <c r="H19" s="86"/>
      <c r="I19" s="86"/>
      <c r="J19" s="86"/>
      <c r="K19" s="86"/>
      <c r="L19" s="90"/>
      <c r="M19" s="86"/>
      <c r="N19" s="86"/>
      <c r="O19" s="86"/>
      <c r="P19" s="86"/>
      <c r="Q19" s="86"/>
      <c r="R19" s="95"/>
      <c r="S19" s="105" t="s">
        <v>401</v>
      </c>
      <c r="T19" s="160"/>
      <c r="U19" s="160"/>
      <c r="V19" s="160"/>
      <c r="W19" s="160"/>
      <c r="X19" s="160"/>
      <c r="Y19" s="161"/>
      <c r="Z19" s="160"/>
      <c r="AA19" s="160"/>
      <c r="AB19" s="160"/>
      <c r="AC19" s="160"/>
      <c r="AD19" s="160"/>
      <c r="AE19" s="160"/>
      <c r="AF19" s="165" t="s">
        <v>69</v>
      </c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2"/>
    </row>
    <row r="20" spans="2:56" s="3" customFormat="1" ht="13.5" customHeight="1">
      <c r="B20" s="2"/>
      <c r="C20" s="430" t="s">
        <v>48</v>
      </c>
      <c r="D20" s="431"/>
      <c r="E20" s="432"/>
      <c r="F20" s="217" t="s">
        <v>262</v>
      </c>
      <c r="G20" s="168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70"/>
      <c r="S20" s="105" t="s">
        <v>402</v>
      </c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5" t="s">
        <v>69</v>
      </c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75"/>
      <c r="BD20" s="159"/>
    </row>
    <row r="21" spans="2:56" s="3" customFormat="1" ht="13.5" customHeight="1">
      <c r="B21" s="2"/>
      <c r="C21" s="430" t="s">
        <v>48</v>
      </c>
      <c r="D21" s="431"/>
      <c r="E21" s="431"/>
      <c r="F21" s="217" t="s">
        <v>263</v>
      </c>
      <c r="G21" s="160"/>
      <c r="H21" s="86"/>
      <c r="I21" s="86"/>
      <c r="J21" s="86"/>
      <c r="K21" s="86"/>
      <c r="L21" s="90"/>
      <c r="M21" s="86"/>
      <c r="N21" s="86"/>
      <c r="O21" s="86"/>
      <c r="P21" s="86"/>
      <c r="Q21" s="86"/>
      <c r="R21" s="95"/>
      <c r="S21" s="105" t="s">
        <v>400</v>
      </c>
      <c r="T21" s="160"/>
      <c r="U21" s="160"/>
      <c r="V21" s="160"/>
      <c r="W21" s="160"/>
      <c r="X21" s="160"/>
      <c r="Y21" s="161"/>
      <c r="Z21" s="160"/>
      <c r="AA21" s="160"/>
      <c r="AB21" s="160"/>
      <c r="AC21" s="160"/>
      <c r="AD21" s="160"/>
      <c r="AE21" s="160"/>
      <c r="AF21" s="165" t="s">
        <v>69</v>
      </c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4"/>
    </row>
    <row r="22" spans="2:56" s="3" customFormat="1" ht="13.5" customHeight="1">
      <c r="B22" s="2"/>
      <c r="C22" s="430" t="s">
        <v>48</v>
      </c>
      <c r="D22" s="431"/>
      <c r="E22" s="432"/>
      <c r="F22" s="217" t="s">
        <v>264</v>
      </c>
      <c r="G22" s="160"/>
      <c r="H22" s="86"/>
      <c r="I22" s="86"/>
      <c r="J22" s="86"/>
      <c r="K22" s="86"/>
      <c r="L22" s="90"/>
      <c r="M22" s="86"/>
      <c r="N22" s="86"/>
      <c r="O22" s="86"/>
      <c r="P22" s="86"/>
      <c r="Q22" s="86"/>
      <c r="R22" s="95"/>
      <c r="S22" s="105" t="s">
        <v>375</v>
      </c>
      <c r="T22" s="160"/>
      <c r="U22" s="160"/>
      <c r="V22" s="160"/>
      <c r="W22" s="160"/>
      <c r="X22" s="160"/>
      <c r="Y22" s="161"/>
      <c r="Z22" s="160"/>
      <c r="AA22" s="160"/>
      <c r="AB22" s="160"/>
      <c r="AC22" s="160"/>
      <c r="AD22" s="160"/>
      <c r="AE22" s="160"/>
      <c r="AF22" s="165" t="s">
        <v>69</v>
      </c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6"/>
    </row>
    <row r="23" spans="2:56" s="3" customFormat="1" ht="13.5" customHeight="1">
      <c r="B23" s="2"/>
      <c r="C23" s="430" t="s">
        <v>48</v>
      </c>
      <c r="D23" s="431"/>
      <c r="E23" s="432"/>
      <c r="F23" s="217" t="s">
        <v>265</v>
      </c>
      <c r="G23" s="160"/>
      <c r="H23" s="86"/>
      <c r="I23" s="86"/>
      <c r="J23" s="86"/>
      <c r="K23" s="86"/>
      <c r="L23" s="90"/>
      <c r="M23" s="86"/>
      <c r="N23" s="86"/>
      <c r="O23" s="86"/>
      <c r="P23" s="86"/>
      <c r="Q23" s="86"/>
      <c r="R23" s="95"/>
      <c r="S23" s="105" t="s">
        <v>373</v>
      </c>
      <c r="T23" s="160"/>
      <c r="U23" s="160"/>
      <c r="V23" s="160"/>
      <c r="W23" s="160"/>
      <c r="X23" s="160"/>
      <c r="Y23" s="161"/>
      <c r="Z23" s="160"/>
      <c r="AA23" s="160"/>
      <c r="AB23" s="160"/>
      <c r="AC23" s="160"/>
      <c r="AD23" s="160"/>
      <c r="AE23" s="160"/>
      <c r="AF23" s="105" t="s">
        <v>373</v>
      </c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2"/>
    </row>
    <row r="24" spans="2:56" s="3" customFormat="1" ht="13.5" customHeight="1">
      <c r="B24" s="2"/>
      <c r="C24" s="430" t="s">
        <v>48</v>
      </c>
      <c r="D24" s="431"/>
      <c r="E24" s="432"/>
      <c r="F24" s="217" t="s">
        <v>266</v>
      </c>
      <c r="G24" s="168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70"/>
      <c r="S24" s="105" t="s">
        <v>374</v>
      </c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05" t="s">
        <v>374</v>
      </c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75"/>
      <c r="BD24" s="159"/>
    </row>
    <row r="25" spans="2:56" s="3" customFormat="1" ht="13.5" customHeight="1">
      <c r="B25" s="2"/>
      <c r="C25" s="430" t="s">
        <v>48</v>
      </c>
      <c r="D25" s="431"/>
      <c r="E25" s="432"/>
      <c r="F25" s="217" t="s">
        <v>267</v>
      </c>
      <c r="G25" s="168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70"/>
      <c r="S25" s="217" t="s">
        <v>399</v>
      </c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5" t="s">
        <v>69</v>
      </c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20"/>
      <c r="BD25" s="159"/>
    </row>
    <row r="26" spans="2:56" s="3" customFormat="1" ht="13.5" customHeight="1">
      <c r="B26" s="2"/>
      <c r="C26" s="430" t="s">
        <v>48</v>
      </c>
      <c r="D26" s="431"/>
      <c r="E26" s="431"/>
      <c r="F26" s="217" t="s">
        <v>268</v>
      </c>
      <c r="G26" s="168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70"/>
      <c r="S26" s="165" t="s">
        <v>370</v>
      </c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5" t="s">
        <v>370</v>
      </c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20"/>
      <c r="BD26" s="159"/>
    </row>
    <row r="27" spans="2:56" s="3" customFormat="1" ht="13.5" customHeight="1">
      <c r="B27" s="2"/>
      <c r="C27" s="430" t="s">
        <v>48</v>
      </c>
      <c r="D27" s="431"/>
      <c r="E27" s="432"/>
      <c r="F27" s="217" t="s">
        <v>269</v>
      </c>
      <c r="G27" s="168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70"/>
      <c r="S27" s="165" t="s">
        <v>371</v>
      </c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5" t="s">
        <v>371</v>
      </c>
      <c r="AG27" s="219"/>
      <c r="AH27" s="219"/>
      <c r="AI27" s="219"/>
      <c r="AJ27" s="219"/>
      <c r="AK27" s="219"/>
      <c r="AL27" s="219"/>
      <c r="AM27" s="219"/>
      <c r="AN27" s="219"/>
      <c r="AO27" s="219"/>
      <c r="AP27" s="219"/>
      <c r="AQ27" s="219"/>
      <c r="AR27" s="219"/>
      <c r="AS27" s="219"/>
      <c r="AT27" s="219"/>
      <c r="AU27" s="219"/>
      <c r="AV27" s="219"/>
      <c r="AW27" s="219"/>
      <c r="AX27" s="219"/>
      <c r="AY27" s="219"/>
      <c r="AZ27" s="219"/>
      <c r="BA27" s="219"/>
      <c r="BB27" s="219"/>
      <c r="BC27" s="220"/>
      <c r="BD27" s="159"/>
    </row>
    <row r="28" spans="2:56" s="3" customFormat="1" ht="13.5" customHeight="1">
      <c r="B28" s="2"/>
      <c r="C28" s="430" t="s">
        <v>48</v>
      </c>
      <c r="D28" s="431"/>
      <c r="E28" s="432"/>
      <c r="F28" s="217" t="s">
        <v>270</v>
      </c>
      <c r="G28" s="168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70"/>
      <c r="S28" s="165" t="s">
        <v>372</v>
      </c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343" t="s">
        <v>515</v>
      </c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19"/>
      <c r="AX28" s="219"/>
      <c r="AY28" s="219"/>
      <c r="AZ28" s="219"/>
      <c r="BA28" s="219"/>
      <c r="BB28" s="219"/>
      <c r="BC28" s="220"/>
      <c r="BD28" s="159"/>
    </row>
    <row r="29" spans="2:56" s="3" customFormat="1" ht="13.5" customHeight="1">
      <c r="B29" s="2"/>
      <c r="C29" s="430" t="s">
        <v>48</v>
      </c>
      <c r="D29" s="431"/>
      <c r="E29" s="432"/>
      <c r="F29" s="217" t="s">
        <v>271</v>
      </c>
      <c r="G29" s="168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70"/>
      <c r="S29" s="295" t="s">
        <v>369</v>
      </c>
      <c r="T29" s="296"/>
      <c r="U29" s="296"/>
      <c r="V29" s="296"/>
      <c r="W29" s="296"/>
      <c r="X29" s="296"/>
      <c r="Y29" s="161"/>
      <c r="Z29" s="160"/>
      <c r="AA29" s="160"/>
      <c r="AB29" s="160"/>
      <c r="AC29" s="160"/>
      <c r="AD29" s="160"/>
      <c r="AE29" s="166"/>
      <c r="AF29" s="165" t="s">
        <v>369</v>
      </c>
      <c r="AG29" s="219"/>
      <c r="AH29" s="219"/>
      <c r="AI29" s="219"/>
      <c r="AJ29" s="219"/>
      <c r="AK29" s="219"/>
      <c r="AL29" s="219"/>
      <c r="AM29" s="219"/>
      <c r="AN29" s="219"/>
      <c r="AO29" s="219"/>
      <c r="AP29" s="219"/>
      <c r="AQ29" s="219"/>
      <c r="AR29" s="219"/>
      <c r="AS29" s="219"/>
      <c r="AT29" s="219"/>
      <c r="AU29" s="219"/>
      <c r="AV29" s="219"/>
      <c r="AW29" s="219"/>
      <c r="AX29" s="219"/>
      <c r="AY29" s="219"/>
      <c r="AZ29" s="219"/>
      <c r="BA29" s="219"/>
      <c r="BB29" s="219"/>
      <c r="BC29" s="220"/>
      <c r="BD29" s="159"/>
    </row>
    <row r="30" spans="2:56" s="3" customFormat="1" ht="13.5" customHeight="1">
      <c r="B30" s="2"/>
      <c r="C30" s="430" t="s">
        <v>48</v>
      </c>
      <c r="D30" s="431"/>
      <c r="E30" s="431"/>
      <c r="F30" s="217" t="s">
        <v>272</v>
      </c>
      <c r="G30" s="168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70"/>
      <c r="S30" s="217" t="s">
        <v>403</v>
      </c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5" t="s">
        <v>69</v>
      </c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19"/>
      <c r="AX30" s="219"/>
      <c r="AY30" s="219"/>
      <c r="AZ30" s="219"/>
      <c r="BA30" s="219"/>
      <c r="BB30" s="219"/>
      <c r="BC30" s="220"/>
      <c r="BD30" s="159"/>
    </row>
    <row r="31" spans="2:56" s="3" customFormat="1" ht="13.5" customHeight="1">
      <c r="B31" s="2"/>
      <c r="C31" s="430" t="s">
        <v>48</v>
      </c>
      <c r="D31" s="431"/>
      <c r="E31" s="432"/>
      <c r="F31" s="217" t="s">
        <v>273</v>
      </c>
      <c r="G31" s="168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70"/>
      <c r="S31" s="217" t="s">
        <v>398</v>
      </c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5" t="s">
        <v>69</v>
      </c>
      <c r="AG31" s="219"/>
      <c r="AH31" s="219"/>
      <c r="AI31" s="219"/>
      <c r="AJ31" s="219"/>
      <c r="AK31" s="219"/>
      <c r="AL31" s="219"/>
      <c r="AM31" s="219"/>
      <c r="AN31" s="219"/>
      <c r="AO31" s="219"/>
      <c r="AP31" s="219"/>
      <c r="AQ31" s="219"/>
      <c r="AR31" s="219"/>
      <c r="AS31" s="219"/>
      <c r="AT31" s="219"/>
      <c r="AU31" s="219"/>
      <c r="AV31" s="219"/>
      <c r="AW31" s="219"/>
      <c r="AX31" s="219"/>
      <c r="AY31" s="219"/>
      <c r="AZ31" s="219"/>
      <c r="BA31" s="219"/>
      <c r="BB31" s="219"/>
      <c r="BC31" s="220"/>
      <c r="BD31" s="159"/>
    </row>
    <row r="32" spans="2:56" s="3" customFormat="1" ht="13.5" customHeight="1">
      <c r="B32" s="2"/>
      <c r="C32" s="430" t="s">
        <v>48</v>
      </c>
      <c r="D32" s="431"/>
      <c r="E32" s="432"/>
      <c r="F32" s="217" t="s">
        <v>274</v>
      </c>
      <c r="G32" s="168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70"/>
      <c r="S32" s="217" t="s">
        <v>383</v>
      </c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218" t="s">
        <v>382</v>
      </c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19"/>
      <c r="AX32" s="219"/>
      <c r="AY32" s="219"/>
      <c r="AZ32" s="219"/>
      <c r="BA32" s="219"/>
      <c r="BB32" s="219"/>
      <c r="BC32" s="220"/>
      <c r="BD32" s="159"/>
    </row>
    <row r="33" spans="2:56" s="3" customFormat="1" ht="13.5" customHeight="1">
      <c r="B33" s="2"/>
      <c r="C33" s="430" t="s">
        <v>48</v>
      </c>
      <c r="D33" s="431"/>
      <c r="E33" s="432"/>
      <c r="F33" s="217" t="s">
        <v>275</v>
      </c>
      <c r="G33" s="168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70"/>
      <c r="S33" s="217" t="s">
        <v>396</v>
      </c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290"/>
      <c r="AG33" s="291"/>
      <c r="AH33" s="291"/>
      <c r="AI33" s="291"/>
      <c r="AJ33" s="291"/>
      <c r="AK33" s="291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19"/>
      <c r="AX33" s="219"/>
      <c r="AY33" s="219"/>
      <c r="AZ33" s="219"/>
      <c r="BA33" s="219"/>
      <c r="BB33" s="219"/>
      <c r="BC33" s="220"/>
      <c r="BD33" s="159"/>
    </row>
    <row r="34" spans="2:56" s="3" customFormat="1" ht="13.5" customHeight="1">
      <c r="B34" s="2"/>
      <c r="C34" s="430" t="s">
        <v>48</v>
      </c>
      <c r="D34" s="431"/>
      <c r="E34" s="432"/>
      <c r="F34" s="217" t="s">
        <v>276</v>
      </c>
      <c r="G34" s="168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70"/>
      <c r="S34" s="217" t="s">
        <v>397</v>
      </c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5" t="s">
        <v>69</v>
      </c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  <c r="AZ34" s="219"/>
      <c r="BA34" s="219"/>
      <c r="BB34" s="219"/>
      <c r="BC34" s="220"/>
      <c r="BD34" s="159"/>
    </row>
    <row r="35" spans="2:56" s="3" customFormat="1" ht="13.5" customHeight="1">
      <c r="B35" s="2"/>
      <c r="C35" s="430" t="s">
        <v>48</v>
      </c>
      <c r="D35" s="431"/>
      <c r="E35" s="431"/>
      <c r="F35" s="217" t="s">
        <v>277</v>
      </c>
      <c r="G35" s="168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70"/>
      <c r="S35" s="217" t="s">
        <v>386</v>
      </c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290"/>
      <c r="AG35" s="291"/>
      <c r="AH35" s="291"/>
      <c r="AI35" s="291"/>
      <c r="AJ35" s="291"/>
      <c r="AK35" s="291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  <c r="AZ35" s="219"/>
      <c r="BA35" s="219"/>
      <c r="BB35" s="219"/>
      <c r="BC35" s="220"/>
      <c r="BD35" s="159"/>
    </row>
    <row r="36" spans="2:56" s="3" customFormat="1" ht="13.5" customHeight="1">
      <c r="B36" s="2"/>
      <c r="C36" s="430" t="s">
        <v>48</v>
      </c>
      <c r="D36" s="431"/>
      <c r="E36" s="432"/>
      <c r="F36" s="217" t="s">
        <v>278</v>
      </c>
      <c r="G36" s="168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70"/>
      <c r="S36" s="217" t="s">
        <v>387</v>
      </c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290"/>
      <c r="AG36" s="291"/>
      <c r="AH36" s="291"/>
      <c r="AI36" s="291"/>
      <c r="AJ36" s="291"/>
      <c r="AK36" s="291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  <c r="AZ36" s="219"/>
      <c r="BA36" s="219"/>
      <c r="BB36" s="219"/>
      <c r="BC36" s="220"/>
      <c r="BD36" s="159"/>
    </row>
    <row r="37" spans="2:56" s="3" customFormat="1" ht="13.5" customHeight="1">
      <c r="B37" s="2"/>
      <c r="C37" s="430" t="s">
        <v>48</v>
      </c>
      <c r="D37" s="431"/>
      <c r="E37" s="432"/>
      <c r="F37" s="217" t="s">
        <v>279</v>
      </c>
      <c r="G37" s="168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70"/>
      <c r="S37" s="217" t="s">
        <v>388</v>
      </c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290"/>
      <c r="AG37" s="291"/>
      <c r="AH37" s="291"/>
      <c r="AI37" s="291"/>
      <c r="AJ37" s="291"/>
      <c r="AK37" s="291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9"/>
      <c r="AZ37" s="219"/>
      <c r="BA37" s="219"/>
      <c r="BB37" s="219"/>
      <c r="BC37" s="220"/>
      <c r="BD37" s="159"/>
    </row>
    <row r="38" spans="2:56" s="3" customFormat="1" ht="13.5" customHeight="1">
      <c r="B38" s="2"/>
      <c r="C38" s="430" t="s">
        <v>48</v>
      </c>
      <c r="D38" s="431"/>
      <c r="E38" s="432"/>
      <c r="F38" s="217" t="s">
        <v>280</v>
      </c>
      <c r="G38" s="168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70"/>
      <c r="S38" s="217" t="s">
        <v>389</v>
      </c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290"/>
      <c r="AG38" s="291"/>
      <c r="AH38" s="291"/>
      <c r="AI38" s="291"/>
      <c r="AJ38" s="291"/>
      <c r="AK38" s="291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  <c r="AZ38" s="219"/>
      <c r="BA38" s="219"/>
      <c r="BB38" s="219"/>
      <c r="BC38" s="220"/>
      <c r="BD38" s="159"/>
    </row>
    <row r="39" spans="2:56" s="3" customFormat="1" ht="13.5" customHeight="1">
      <c r="B39" s="2"/>
      <c r="C39" s="430" t="s">
        <v>48</v>
      </c>
      <c r="D39" s="431"/>
      <c r="E39" s="432"/>
      <c r="F39" s="217" t="s">
        <v>281</v>
      </c>
      <c r="G39" s="168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70"/>
      <c r="S39" s="217" t="s">
        <v>390</v>
      </c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338" t="s">
        <v>69</v>
      </c>
      <c r="AG39" s="339"/>
      <c r="AH39" s="339"/>
      <c r="AI39" s="339"/>
      <c r="AJ39" s="339"/>
      <c r="AK39" s="339"/>
      <c r="AL39" s="339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  <c r="AZ39" s="219"/>
      <c r="BA39" s="219"/>
      <c r="BB39" s="219"/>
      <c r="BC39" s="220"/>
      <c r="BD39" s="159"/>
    </row>
    <row r="40" spans="2:56" s="3" customFormat="1" ht="13.5" customHeight="1">
      <c r="B40" s="2"/>
      <c r="C40" s="430" t="s">
        <v>48</v>
      </c>
      <c r="D40" s="431"/>
      <c r="E40" s="431"/>
      <c r="F40" s="217" t="s">
        <v>282</v>
      </c>
      <c r="G40" s="160"/>
      <c r="H40" s="86"/>
      <c r="I40" s="86"/>
      <c r="J40" s="86"/>
      <c r="K40" s="86"/>
      <c r="L40" s="90"/>
      <c r="M40" s="86"/>
      <c r="N40" s="86"/>
      <c r="O40" s="86"/>
      <c r="P40" s="86"/>
      <c r="Q40" s="86"/>
      <c r="R40" s="95"/>
      <c r="S40" s="217" t="s">
        <v>391</v>
      </c>
      <c r="T40" s="160"/>
      <c r="U40" s="160"/>
      <c r="V40" s="160"/>
      <c r="W40" s="160"/>
      <c r="X40" s="160"/>
      <c r="Y40" s="161"/>
      <c r="Z40" s="160"/>
      <c r="AA40" s="160"/>
      <c r="AB40" s="160"/>
      <c r="AC40" s="160"/>
      <c r="AD40" s="160"/>
      <c r="AE40" s="160"/>
      <c r="AF40" s="338" t="s">
        <v>69</v>
      </c>
      <c r="AG40" s="340"/>
      <c r="AH40" s="340"/>
      <c r="AI40" s="340"/>
      <c r="AJ40" s="340"/>
      <c r="AK40" s="340"/>
      <c r="AL40" s="340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4"/>
    </row>
    <row r="41" spans="2:56" s="3" customFormat="1" ht="13.5" customHeight="1">
      <c r="B41" s="2"/>
      <c r="C41" s="430" t="s">
        <v>48</v>
      </c>
      <c r="D41" s="431"/>
      <c r="E41" s="432"/>
      <c r="F41" s="217" t="s">
        <v>283</v>
      </c>
      <c r="G41" s="160"/>
      <c r="H41" s="86"/>
      <c r="I41" s="86"/>
      <c r="J41" s="86"/>
      <c r="K41" s="86"/>
      <c r="L41" s="90"/>
      <c r="M41" s="86"/>
      <c r="N41" s="86"/>
      <c r="O41" s="86"/>
      <c r="P41" s="86"/>
      <c r="Q41" s="86"/>
      <c r="R41" s="95"/>
      <c r="S41" s="105" t="s">
        <v>384</v>
      </c>
      <c r="T41" s="160"/>
      <c r="U41" s="160"/>
      <c r="V41" s="160"/>
      <c r="W41" s="160"/>
      <c r="X41" s="160"/>
      <c r="Y41" s="161"/>
      <c r="Z41" s="160"/>
      <c r="AA41" s="160"/>
      <c r="AB41" s="160"/>
      <c r="AC41" s="160"/>
      <c r="AD41" s="160"/>
      <c r="AE41" s="160"/>
      <c r="AF41" s="105" t="s">
        <v>384</v>
      </c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6"/>
    </row>
    <row r="42" spans="2:56" s="3" customFormat="1" ht="13.5" customHeight="1">
      <c r="B42" s="2"/>
      <c r="C42" s="430" t="s">
        <v>48</v>
      </c>
      <c r="D42" s="431"/>
      <c r="E42" s="432"/>
      <c r="F42" s="217" t="s">
        <v>284</v>
      </c>
      <c r="G42" s="168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70"/>
      <c r="S42" s="165" t="s">
        <v>385</v>
      </c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5" t="s">
        <v>385</v>
      </c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75"/>
      <c r="BD42" s="159"/>
    </row>
    <row r="43" spans="2:56" s="3" customFormat="1" ht="13.5" customHeight="1">
      <c r="B43" s="2"/>
      <c r="C43" s="430" t="s">
        <v>48</v>
      </c>
      <c r="D43" s="431"/>
      <c r="E43" s="431"/>
      <c r="F43" s="217" t="s">
        <v>285</v>
      </c>
      <c r="G43" s="160"/>
      <c r="H43" s="86"/>
      <c r="I43" s="86"/>
      <c r="J43" s="86"/>
      <c r="K43" s="86"/>
      <c r="L43" s="90"/>
      <c r="M43" s="86"/>
      <c r="N43" s="86"/>
      <c r="O43" s="86"/>
      <c r="P43" s="86"/>
      <c r="Q43" s="86"/>
      <c r="R43" s="95"/>
      <c r="S43" s="105" t="s">
        <v>395</v>
      </c>
      <c r="T43" s="160"/>
      <c r="U43" s="160"/>
      <c r="V43" s="160"/>
      <c r="W43" s="160"/>
      <c r="X43" s="160"/>
      <c r="Y43" s="161"/>
      <c r="Z43" s="160"/>
      <c r="AA43" s="160"/>
      <c r="AB43" s="160"/>
      <c r="AC43" s="160"/>
      <c r="AD43" s="160"/>
      <c r="AE43" s="160"/>
      <c r="AF43" s="185"/>
      <c r="AG43" s="292"/>
      <c r="AH43" s="292"/>
      <c r="AI43" s="292"/>
      <c r="AJ43" s="292"/>
      <c r="AK43" s="292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4"/>
    </row>
    <row r="44" spans="2:56" s="3" customFormat="1" ht="13.5" customHeight="1">
      <c r="B44" s="2"/>
      <c r="C44" s="430" t="s">
        <v>48</v>
      </c>
      <c r="D44" s="431"/>
      <c r="E44" s="432"/>
      <c r="F44" s="217" t="s">
        <v>286</v>
      </c>
      <c r="G44" s="160"/>
      <c r="H44" s="86"/>
      <c r="I44" s="86"/>
      <c r="J44" s="86"/>
      <c r="K44" s="86"/>
      <c r="L44" s="90"/>
      <c r="M44" s="86"/>
      <c r="N44" s="86"/>
      <c r="O44" s="86"/>
      <c r="P44" s="86"/>
      <c r="Q44" s="86"/>
      <c r="R44" s="95"/>
      <c r="S44" s="105" t="s">
        <v>392</v>
      </c>
      <c r="T44" s="160"/>
      <c r="U44" s="160"/>
      <c r="V44" s="160"/>
      <c r="W44" s="160"/>
      <c r="X44" s="160"/>
      <c r="Y44" s="161"/>
      <c r="Z44" s="160"/>
      <c r="AA44" s="160"/>
      <c r="AB44" s="160"/>
      <c r="AC44" s="160"/>
      <c r="AD44" s="160"/>
      <c r="AE44" s="160"/>
      <c r="AF44" s="165" t="s">
        <v>69</v>
      </c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160"/>
      <c r="AY44" s="160"/>
      <c r="AZ44" s="160"/>
      <c r="BA44" s="160"/>
      <c r="BB44" s="160"/>
      <c r="BC44" s="166"/>
    </row>
    <row r="45" spans="2:56" s="3" customFormat="1" ht="13.5" customHeight="1">
      <c r="B45" s="2"/>
      <c r="C45" s="430" t="s">
        <v>48</v>
      </c>
      <c r="D45" s="431"/>
      <c r="E45" s="432"/>
      <c r="F45" s="217" t="s">
        <v>287</v>
      </c>
      <c r="G45" s="160"/>
      <c r="H45" s="86"/>
      <c r="I45" s="86"/>
      <c r="J45" s="86"/>
      <c r="K45" s="86"/>
      <c r="L45" s="90"/>
      <c r="M45" s="86"/>
      <c r="N45" s="86"/>
      <c r="O45" s="86"/>
      <c r="P45" s="86"/>
      <c r="Q45" s="86"/>
      <c r="R45" s="95"/>
      <c r="S45" s="105" t="s">
        <v>513</v>
      </c>
      <c r="T45" s="160"/>
      <c r="U45" s="160"/>
      <c r="V45" s="160"/>
      <c r="W45" s="160"/>
      <c r="X45" s="160"/>
      <c r="Y45" s="161"/>
      <c r="Z45" s="160"/>
      <c r="AA45" s="160"/>
      <c r="AB45" s="160"/>
      <c r="AC45" s="160"/>
      <c r="AD45" s="160"/>
      <c r="AE45" s="160"/>
      <c r="AF45" s="105" t="s">
        <v>513</v>
      </c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2"/>
    </row>
    <row r="46" spans="2:56" s="3" customFormat="1" ht="13.5" customHeight="1">
      <c r="B46" s="2"/>
      <c r="C46" s="430" t="s">
        <v>48</v>
      </c>
      <c r="D46" s="431"/>
      <c r="E46" s="432"/>
      <c r="F46" s="217" t="s">
        <v>288</v>
      </c>
      <c r="G46" s="173"/>
      <c r="H46" s="99"/>
      <c r="I46" s="99"/>
      <c r="J46" s="99"/>
      <c r="K46" s="99"/>
      <c r="L46" s="90"/>
      <c r="M46" s="86"/>
      <c r="N46" s="86"/>
      <c r="O46" s="86"/>
      <c r="P46" s="86"/>
      <c r="Q46" s="86"/>
      <c r="R46" s="95"/>
      <c r="S46" s="105" t="s">
        <v>394</v>
      </c>
      <c r="T46" s="173"/>
      <c r="U46" s="173"/>
      <c r="V46" s="173"/>
      <c r="W46" s="173"/>
      <c r="X46" s="173"/>
      <c r="Y46" s="161"/>
      <c r="Z46" s="160"/>
      <c r="AA46" s="160"/>
      <c r="AB46" s="160"/>
      <c r="AC46" s="160"/>
      <c r="AD46" s="160"/>
      <c r="AE46" s="160"/>
      <c r="AF46" s="165" t="s">
        <v>69</v>
      </c>
      <c r="AG46" s="160"/>
      <c r="AH46" s="160"/>
      <c r="AI46" s="160"/>
      <c r="AJ46" s="160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6"/>
    </row>
    <row r="47" spans="2:56" s="3" customFormat="1" ht="13.5" customHeight="1">
      <c r="B47" s="2"/>
      <c r="C47" s="430" t="s">
        <v>48</v>
      </c>
      <c r="D47" s="431"/>
      <c r="E47" s="432"/>
      <c r="F47" s="165" t="s">
        <v>289</v>
      </c>
      <c r="G47" s="160"/>
      <c r="H47" s="86"/>
      <c r="I47" s="86"/>
      <c r="J47" s="86"/>
      <c r="K47" s="86"/>
      <c r="L47" s="90"/>
      <c r="M47" s="86"/>
      <c r="N47" s="86"/>
      <c r="O47" s="86"/>
      <c r="P47" s="86"/>
      <c r="Q47" s="86"/>
      <c r="R47" s="95"/>
      <c r="S47" s="105" t="s">
        <v>393</v>
      </c>
      <c r="T47" s="160"/>
      <c r="U47" s="160"/>
      <c r="V47" s="160"/>
      <c r="W47" s="160"/>
      <c r="X47" s="160"/>
      <c r="Y47" s="161"/>
      <c r="Z47" s="160"/>
      <c r="AA47" s="160"/>
      <c r="AB47" s="160"/>
      <c r="AC47" s="160"/>
      <c r="AD47" s="160"/>
      <c r="AE47" s="160"/>
      <c r="AF47" s="165" t="s">
        <v>69</v>
      </c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6"/>
    </row>
    <row r="48" spans="2:56" s="3" customFormat="1" ht="13.5" customHeight="1">
      <c r="B48" s="2"/>
      <c r="C48" s="157" t="s">
        <v>107</v>
      </c>
      <c r="D48" s="156"/>
      <c r="E48" s="156"/>
      <c r="F48" s="156"/>
      <c r="G48" s="156"/>
      <c r="H48" s="174"/>
      <c r="I48" s="156"/>
      <c r="J48" s="156"/>
      <c r="K48" s="156"/>
      <c r="L48" s="174"/>
      <c r="M48" s="156"/>
      <c r="N48" s="156"/>
      <c r="O48" s="156"/>
      <c r="P48" s="156"/>
      <c r="Q48" s="156"/>
      <c r="R48" s="156"/>
      <c r="S48" s="157"/>
      <c r="T48" s="157"/>
      <c r="U48" s="157"/>
      <c r="V48" s="157"/>
      <c r="W48" s="157"/>
      <c r="X48" s="157"/>
      <c r="Y48" s="159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</row>
    <row r="49" spans="3:67" ht="12.75" customHeight="1"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</row>
    <row r="50" spans="3:67" ht="12.75" customHeight="1">
      <c r="C50" s="106" t="s">
        <v>409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BO50" s="159" t="s">
        <v>404</v>
      </c>
    </row>
    <row r="51" spans="3:67" ht="12.75" customHeight="1">
      <c r="C51" s="297" t="s">
        <v>410</v>
      </c>
      <c r="D51" s="298"/>
      <c r="E51" s="298"/>
      <c r="F51" s="298"/>
      <c r="G51" s="298"/>
      <c r="H51" s="299"/>
      <c r="I51" s="300" t="s">
        <v>411</v>
      </c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  <c r="AD51" s="301"/>
      <c r="AE51" s="301"/>
      <c r="AF51" s="301"/>
      <c r="AG51" s="301"/>
      <c r="AH51" s="301"/>
      <c r="AI51" s="301"/>
      <c r="AJ51" s="301"/>
      <c r="AK51" s="301"/>
      <c r="AL51" s="301"/>
      <c r="AM51" s="301"/>
      <c r="AN51" s="301"/>
      <c r="AO51" s="301"/>
      <c r="AP51" s="302"/>
      <c r="AQ51" s="300"/>
      <c r="AR51" s="301"/>
      <c r="AS51" s="301"/>
      <c r="AT51" s="301"/>
      <c r="AU51" s="301"/>
      <c r="AV51" s="301"/>
      <c r="AW51" s="301"/>
      <c r="AX51" s="301"/>
      <c r="AY51" s="301"/>
      <c r="AZ51" s="302"/>
    </row>
    <row r="52" spans="3:67" ht="12.75" customHeight="1">
      <c r="C52" s="303"/>
      <c r="D52" s="304"/>
      <c r="E52" s="304"/>
      <c r="F52" s="304"/>
      <c r="G52" s="304"/>
      <c r="H52" s="305"/>
      <c r="I52" s="306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307"/>
      <c r="AB52" s="307"/>
      <c r="AC52" s="307"/>
      <c r="AD52" s="307"/>
      <c r="AE52" s="307"/>
      <c r="AF52" s="307"/>
      <c r="AG52" s="307"/>
      <c r="AH52" s="307"/>
      <c r="AI52" s="307"/>
      <c r="AJ52" s="307"/>
      <c r="AK52" s="307"/>
      <c r="AL52" s="307"/>
      <c r="AM52" s="307"/>
      <c r="AN52" s="307"/>
      <c r="AO52" s="307"/>
      <c r="AP52" s="308"/>
      <c r="AQ52" s="306"/>
      <c r="AR52" s="307"/>
      <c r="AS52" s="307"/>
      <c r="AT52" s="307"/>
      <c r="AU52" s="307"/>
      <c r="AV52" s="307"/>
      <c r="AW52" s="307"/>
      <c r="AX52" s="307"/>
      <c r="AY52" s="307"/>
      <c r="AZ52" s="308"/>
    </row>
    <row r="53" spans="3:67" ht="12.75" customHeight="1">
      <c r="C53" s="297" t="s">
        <v>412</v>
      </c>
      <c r="D53" s="298"/>
      <c r="E53" s="298"/>
      <c r="F53" s="298"/>
      <c r="G53" s="298"/>
      <c r="H53" s="299"/>
      <c r="I53" s="300" t="s">
        <v>413</v>
      </c>
      <c r="J53" s="301" t="s">
        <v>414</v>
      </c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  <c r="AE53" s="301"/>
      <c r="AF53" s="301"/>
      <c r="AG53" s="301"/>
      <c r="AH53" s="301"/>
      <c r="AI53" s="301"/>
      <c r="AJ53" s="301"/>
      <c r="AK53" s="301"/>
      <c r="AL53" s="301"/>
      <c r="AM53" s="301"/>
      <c r="AN53" s="301"/>
      <c r="AO53" s="301"/>
      <c r="AP53" s="301"/>
      <c r="AQ53" s="300" t="s">
        <v>415</v>
      </c>
      <c r="AR53" s="301"/>
      <c r="AS53" s="301"/>
      <c r="AT53" s="301"/>
      <c r="AU53" s="301"/>
      <c r="AV53" s="301"/>
      <c r="AW53" s="301"/>
      <c r="AX53" s="301"/>
      <c r="AY53" s="301"/>
      <c r="AZ53" s="302"/>
    </row>
    <row r="54" spans="3:67" s="2" customFormat="1" ht="13.5" customHeight="1">
      <c r="C54" s="309"/>
      <c r="D54" s="310"/>
      <c r="E54" s="310"/>
      <c r="F54" s="310"/>
      <c r="G54" s="310"/>
      <c r="H54" s="310"/>
      <c r="I54" s="311"/>
      <c r="J54" s="312"/>
      <c r="K54" s="312"/>
      <c r="L54" s="307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  <c r="Z54" s="312"/>
      <c r="AA54" s="312"/>
      <c r="AB54" s="307"/>
      <c r="AC54" s="312"/>
      <c r="AD54" s="312"/>
      <c r="AE54" s="312"/>
      <c r="AF54" s="312"/>
      <c r="AG54" s="312"/>
      <c r="AH54" s="312"/>
      <c r="AI54" s="312"/>
      <c r="AJ54" s="312"/>
      <c r="AK54" s="312"/>
      <c r="AL54" s="312"/>
      <c r="AM54" s="312"/>
      <c r="AN54" s="312"/>
      <c r="AO54" s="312"/>
      <c r="AP54" s="313"/>
      <c r="AQ54" s="312"/>
      <c r="AR54" s="312"/>
      <c r="AS54" s="312"/>
      <c r="AT54" s="312"/>
      <c r="AU54" s="312"/>
      <c r="AV54" s="312"/>
      <c r="AW54" s="312"/>
      <c r="AX54" s="312"/>
      <c r="AY54" s="312"/>
      <c r="AZ54" s="313"/>
    </row>
    <row r="55" spans="3:67" s="2" customFormat="1" ht="13.5" customHeight="1">
      <c r="C55" s="297" t="s">
        <v>416</v>
      </c>
      <c r="D55" s="298"/>
      <c r="E55" s="298"/>
      <c r="F55" s="298"/>
      <c r="G55" s="298"/>
      <c r="H55" s="298"/>
      <c r="I55" s="300"/>
      <c r="J55" s="301"/>
      <c r="K55" s="301"/>
      <c r="L55" s="301"/>
      <c r="M55" s="314" t="s">
        <v>417</v>
      </c>
      <c r="N55" s="301" t="s">
        <v>418</v>
      </c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15"/>
      <c r="AB55" s="301" t="s">
        <v>419</v>
      </c>
      <c r="AC55" s="301"/>
      <c r="AD55" s="301"/>
      <c r="AE55" s="301"/>
      <c r="AF55" s="316" t="s">
        <v>475</v>
      </c>
      <c r="AG55" s="301"/>
      <c r="AH55" s="301"/>
      <c r="AI55" s="301"/>
      <c r="AJ55" s="301"/>
      <c r="AK55" s="301"/>
      <c r="AL55" s="301"/>
      <c r="AM55" s="301"/>
      <c r="AN55" s="301"/>
      <c r="AO55" s="301"/>
      <c r="AP55" s="302"/>
      <c r="AQ55" s="301"/>
      <c r="AR55" s="301"/>
      <c r="AS55" s="301"/>
      <c r="AT55" s="301"/>
      <c r="AU55" s="301"/>
      <c r="AV55" s="301"/>
      <c r="AW55" s="301"/>
      <c r="AX55" s="301"/>
      <c r="AY55" s="301"/>
      <c r="AZ55" s="302"/>
    </row>
    <row r="56" spans="3:67" s="2" customFormat="1" ht="13.5" customHeight="1">
      <c r="C56" s="303"/>
      <c r="D56" s="304"/>
      <c r="E56" s="304"/>
      <c r="F56" s="304"/>
      <c r="G56" s="304"/>
      <c r="H56" s="304"/>
      <c r="I56" s="306"/>
      <c r="J56" s="307"/>
      <c r="K56" s="307"/>
      <c r="L56" s="307"/>
      <c r="M56" s="31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18"/>
      <c r="AB56" s="307"/>
      <c r="AC56" s="307"/>
      <c r="AD56" s="307"/>
      <c r="AE56" s="307"/>
      <c r="AF56" s="317"/>
      <c r="AG56" s="307"/>
      <c r="AH56" s="307"/>
      <c r="AI56" s="307"/>
      <c r="AJ56" s="307"/>
      <c r="AK56" s="307"/>
      <c r="AL56" s="307"/>
      <c r="AM56" s="307"/>
      <c r="AN56" s="307"/>
      <c r="AO56" s="307"/>
      <c r="AP56" s="308"/>
      <c r="AQ56" s="307"/>
      <c r="AR56" s="307"/>
      <c r="AS56" s="307"/>
      <c r="AT56" s="307"/>
      <c r="AU56" s="307"/>
      <c r="AV56" s="307"/>
      <c r="AW56" s="307"/>
      <c r="AX56" s="307"/>
      <c r="AY56" s="307"/>
      <c r="AZ56" s="308"/>
    </row>
    <row r="57" spans="3:67" ht="12.75" customHeight="1"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06"/>
      <c r="AX57" s="106"/>
    </row>
    <row r="58" spans="3:67" ht="12.75" customHeight="1">
      <c r="C58" s="106" t="s">
        <v>420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06"/>
      <c r="AX58" s="106"/>
    </row>
    <row r="59" spans="3:67" ht="12.75" customHeight="1">
      <c r="C59" s="297" t="s">
        <v>410</v>
      </c>
      <c r="D59" s="298"/>
      <c r="E59" s="298"/>
      <c r="F59" s="298"/>
      <c r="G59" s="298"/>
      <c r="H59" s="299"/>
      <c r="I59" s="300" t="s">
        <v>411</v>
      </c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301"/>
      <c r="AI59" s="301"/>
      <c r="AJ59" s="301"/>
      <c r="AK59" s="301"/>
      <c r="AL59" s="301"/>
      <c r="AM59" s="301"/>
      <c r="AN59" s="301"/>
      <c r="AO59" s="301"/>
      <c r="AP59" s="302"/>
      <c r="AQ59" s="300"/>
      <c r="AR59" s="301"/>
      <c r="AS59" s="301"/>
      <c r="AT59" s="301"/>
      <c r="AU59" s="301"/>
      <c r="AV59" s="301"/>
      <c r="AW59" s="301"/>
      <c r="AX59" s="301"/>
      <c r="AY59" s="301"/>
      <c r="AZ59" s="302"/>
    </row>
    <row r="60" spans="3:67" ht="12.75" customHeight="1">
      <c r="C60" s="303"/>
      <c r="D60" s="304"/>
      <c r="E60" s="304"/>
      <c r="F60" s="304"/>
      <c r="G60" s="304"/>
      <c r="H60" s="305"/>
      <c r="I60" s="306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307"/>
      <c r="AB60" s="307"/>
      <c r="AC60" s="307"/>
      <c r="AD60" s="307"/>
      <c r="AE60" s="307"/>
      <c r="AF60" s="307"/>
      <c r="AG60" s="307"/>
      <c r="AH60" s="307"/>
      <c r="AI60" s="307"/>
      <c r="AJ60" s="307"/>
      <c r="AK60" s="307"/>
      <c r="AL60" s="307"/>
      <c r="AM60" s="307"/>
      <c r="AN60" s="307"/>
      <c r="AO60" s="307"/>
      <c r="AP60" s="308"/>
      <c r="AQ60" s="306"/>
      <c r="AR60" s="307"/>
      <c r="AS60" s="307"/>
      <c r="AT60" s="307"/>
      <c r="AU60" s="307"/>
      <c r="AV60" s="307"/>
      <c r="AW60" s="307"/>
      <c r="AX60" s="307"/>
      <c r="AY60" s="307"/>
      <c r="AZ60" s="308"/>
    </row>
    <row r="61" spans="3:67" ht="12.75" customHeight="1">
      <c r="C61" s="297" t="s">
        <v>412</v>
      </c>
      <c r="D61" s="298"/>
      <c r="E61" s="298"/>
      <c r="F61" s="298"/>
      <c r="G61" s="298"/>
      <c r="H61" s="299"/>
      <c r="I61" s="300" t="s">
        <v>413</v>
      </c>
      <c r="J61" s="106" t="s">
        <v>421</v>
      </c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  <c r="AE61" s="301"/>
      <c r="AF61" s="301"/>
      <c r="AG61" s="301"/>
      <c r="AH61" s="301"/>
      <c r="AI61" s="301"/>
      <c r="AJ61" s="301"/>
      <c r="AK61" s="301"/>
      <c r="AL61" s="301"/>
      <c r="AM61" s="301"/>
      <c r="AN61" s="301"/>
      <c r="AO61" s="301"/>
      <c r="AP61" s="301"/>
      <c r="AQ61" s="300" t="s">
        <v>415</v>
      </c>
      <c r="AR61" s="301"/>
      <c r="AS61" s="301"/>
      <c r="AT61" s="301"/>
      <c r="AU61" s="301"/>
      <c r="AV61" s="301"/>
      <c r="AW61" s="301"/>
      <c r="AX61" s="301"/>
      <c r="AY61" s="301"/>
      <c r="AZ61" s="302"/>
    </row>
    <row r="62" spans="3:67" s="2" customFormat="1" ht="13.5" customHeight="1">
      <c r="C62" s="309"/>
      <c r="D62" s="310"/>
      <c r="E62" s="310"/>
      <c r="F62" s="310"/>
      <c r="G62" s="310"/>
      <c r="H62" s="310"/>
      <c r="I62" s="311"/>
      <c r="J62" s="312"/>
      <c r="K62" s="312"/>
      <c r="L62" s="307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07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2"/>
      <c r="AN62" s="312"/>
      <c r="AO62" s="312"/>
      <c r="AP62" s="313"/>
      <c r="AQ62" s="312"/>
      <c r="AR62" s="312"/>
      <c r="AS62" s="312"/>
      <c r="AT62" s="312"/>
      <c r="AU62" s="312"/>
      <c r="AV62" s="312"/>
      <c r="AW62" s="312"/>
      <c r="AX62" s="312"/>
      <c r="AY62" s="312"/>
      <c r="AZ62" s="313"/>
    </row>
    <row r="63" spans="3:67" s="2" customFormat="1" ht="13.5" customHeight="1">
      <c r="C63" s="297" t="s">
        <v>416</v>
      </c>
      <c r="D63" s="298"/>
      <c r="E63" s="298"/>
      <c r="F63" s="298"/>
      <c r="G63" s="298"/>
      <c r="H63" s="298"/>
      <c r="I63" s="300"/>
      <c r="J63" s="301"/>
      <c r="K63" s="301"/>
      <c r="L63" s="301"/>
      <c r="M63" s="314" t="s">
        <v>417</v>
      </c>
      <c r="N63" s="301" t="s">
        <v>422</v>
      </c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15"/>
      <c r="AB63" s="301" t="s">
        <v>419</v>
      </c>
      <c r="AC63" s="301"/>
      <c r="AD63" s="301"/>
      <c r="AE63" s="301"/>
      <c r="AF63" s="316" t="s">
        <v>475</v>
      </c>
      <c r="AG63" s="301"/>
      <c r="AH63" s="301"/>
      <c r="AI63" s="301"/>
      <c r="AJ63" s="301"/>
      <c r="AK63" s="301"/>
      <c r="AL63" s="301"/>
      <c r="AM63" s="301"/>
      <c r="AN63" s="301"/>
      <c r="AO63" s="301"/>
      <c r="AP63" s="302"/>
      <c r="AQ63" s="301"/>
      <c r="AR63" s="301"/>
      <c r="AS63" s="301"/>
      <c r="AT63" s="301"/>
      <c r="AU63" s="301"/>
      <c r="AV63" s="301"/>
      <c r="AW63" s="301"/>
      <c r="AX63" s="301"/>
      <c r="AY63" s="301"/>
      <c r="AZ63" s="302"/>
    </row>
    <row r="64" spans="3:67" s="2" customFormat="1" ht="13.5" customHeight="1">
      <c r="C64" s="309"/>
      <c r="D64" s="310"/>
      <c r="E64" s="310"/>
      <c r="F64" s="310"/>
      <c r="G64" s="310"/>
      <c r="H64" s="310"/>
      <c r="I64" s="311" t="s">
        <v>423</v>
      </c>
      <c r="J64" s="312"/>
      <c r="K64" s="312"/>
      <c r="L64" s="312"/>
      <c r="M64" s="319" t="s">
        <v>413</v>
      </c>
      <c r="N64" s="312" t="s">
        <v>424</v>
      </c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20"/>
      <c r="AB64" s="312" t="s">
        <v>425</v>
      </c>
      <c r="AC64" s="312"/>
      <c r="AD64" s="312"/>
      <c r="AE64" s="312"/>
      <c r="AF64" s="321" t="s">
        <v>426</v>
      </c>
      <c r="AG64" s="312"/>
      <c r="AH64" s="312"/>
      <c r="AI64" s="312"/>
      <c r="AJ64" s="312"/>
      <c r="AK64" s="312"/>
      <c r="AL64" s="312"/>
      <c r="AM64" s="312"/>
      <c r="AN64" s="312"/>
      <c r="AO64" s="312"/>
      <c r="AP64" s="313"/>
      <c r="AQ64" s="312"/>
      <c r="AR64" s="312"/>
      <c r="AS64" s="312"/>
      <c r="AT64" s="312"/>
      <c r="AU64" s="312"/>
      <c r="AV64" s="312"/>
      <c r="AW64" s="312"/>
      <c r="AX64" s="312"/>
      <c r="AY64" s="312"/>
      <c r="AZ64" s="313"/>
    </row>
    <row r="65" spans="3:67" s="2" customFormat="1" ht="13.5" customHeight="1">
      <c r="C65" s="303"/>
      <c r="D65" s="304"/>
      <c r="E65" s="304"/>
      <c r="F65" s="304"/>
      <c r="G65" s="304"/>
      <c r="H65" s="304"/>
      <c r="I65" s="306"/>
      <c r="J65" s="307"/>
      <c r="K65" s="307"/>
      <c r="L65" s="307"/>
      <c r="M65" s="31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18"/>
      <c r="AB65" s="307"/>
      <c r="AC65" s="307"/>
      <c r="AD65" s="307"/>
      <c r="AE65" s="307"/>
      <c r="AF65" s="317"/>
      <c r="AG65" s="307"/>
      <c r="AH65" s="307"/>
      <c r="AI65" s="307"/>
      <c r="AJ65" s="307"/>
      <c r="AK65" s="307"/>
      <c r="AL65" s="307"/>
      <c r="AM65" s="307"/>
      <c r="AN65" s="307"/>
      <c r="AO65" s="307"/>
      <c r="AP65" s="308"/>
      <c r="AQ65" s="307"/>
      <c r="AR65" s="307"/>
      <c r="AS65" s="307"/>
      <c r="AT65" s="307"/>
      <c r="AU65" s="307"/>
      <c r="AV65" s="307"/>
      <c r="AW65" s="307"/>
      <c r="AX65" s="307"/>
      <c r="AY65" s="307"/>
      <c r="AZ65" s="308"/>
    </row>
    <row r="67" spans="3:67" ht="12.75" customHeight="1">
      <c r="C67" s="106" t="s">
        <v>427</v>
      </c>
      <c r="BO67" s="159" t="s">
        <v>404</v>
      </c>
    </row>
    <row r="68" spans="3:67" s="2" customFormat="1" ht="13.5" customHeight="1">
      <c r="C68" s="297" t="s">
        <v>410</v>
      </c>
      <c r="D68" s="298"/>
      <c r="E68" s="298"/>
      <c r="F68" s="298"/>
      <c r="G68" s="298"/>
      <c r="H68" s="299"/>
      <c r="I68" s="300" t="s">
        <v>428</v>
      </c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  <c r="AC68" s="301"/>
      <c r="AD68" s="301"/>
      <c r="AE68" s="301"/>
      <c r="AF68" s="301"/>
      <c r="AG68" s="301"/>
      <c r="AH68" s="301"/>
      <c r="AI68" s="301"/>
      <c r="AJ68" s="301"/>
      <c r="AK68" s="301"/>
      <c r="AL68" s="301"/>
      <c r="AM68" s="301"/>
      <c r="AN68" s="301"/>
      <c r="AO68" s="301"/>
      <c r="AP68" s="302"/>
      <c r="AQ68" s="300"/>
      <c r="AR68" s="301"/>
      <c r="AS68" s="301"/>
      <c r="AT68" s="301"/>
      <c r="AU68" s="301"/>
      <c r="AV68" s="301"/>
      <c r="AW68" s="301"/>
      <c r="AX68" s="301"/>
      <c r="AY68" s="301"/>
      <c r="AZ68" s="302"/>
      <c r="BO68" s="159"/>
    </row>
    <row r="69" spans="3:67" s="2" customFormat="1" ht="13.5" customHeight="1">
      <c r="C69" s="309"/>
      <c r="D69" s="341"/>
      <c r="E69" s="341"/>
      <c r="F69" s="341"/>
      <c r="G69" s="341"/>
      <c r="H69" s="322"/>
      <c r="I69" s="324" t="s">
        <v>509</v>
      </c>
      <c r="J69" s="323" t="s">
        <v>510</v>
      </c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3"/>
      <c r="AB69" s="323"/>
      <c r="AC69" s="323"/>
      <c r="AD69" s="323"/>
      <c r="AE69" s="323"/>
      <c r="AF69" s="323"/>
      <c r="AG69" s="323"/>
      <c r="AH69" s="323"/>
      <c r="AI69" s="323"/>
      <c r="AJ69" s="323"/>
      <c r="AK69" s="323"/>
      <c r="AL69" s="323"/>
      <c r="AM69" s="323"/>
      <c r="AN69" s="323"/>
      <c r="AO69" s="323"/>
      <c r="AP69" s="325"/>
      <c r="AQ69" s="324"/>
      <c r="AR69" s="323"/>
      <c r="AS69" s="323"/>
      <c r="AT69" s="323"/>
      <c r="AU69" s="323"/>
      <c r="AV69" s="323"/>
      <c r="AW69" s="323"/>
      <c r="AX69" s="323"/>
      <c r="AY69" s="323"/>
      <c r="AZ69" s="325"/>
      <c r="BO69" s="159"/>
    </row>
    <row r="70" spans="3:67" s="2" customFormat="1" ht="13.5" customHeight="1">
      <c r="C70" s="309"/>
      <c r="D70" s="341"/>
      <c r="E70" s="341"/>
      <c r="F70" s="341"/>
      <c r="G70" s="341"/>
      <c r="H70" s="322"/>
      <c r="I70" s="324" t="s">
        <v>509</v>
      </c>
      <c r="J70" s="323" t="s">
        <v>511</v>
      </c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  <c r="AJ70" s="323"/>
      <c r="AK70" s="323"/>
      <c r="AL70" s="323"/>
      <c r="AM70" s="323"/>
      <c r="AN70" s="323"/>
      <c r="AO70" s="323"/>
      <c r="AP70" s="325"/>
      <c r="AQ70" s="324"/>
      <c r="AR70" s="323"/>
      <c r="AS70" s="323"/>
      <c r="AT70" s="323"/>
      <c r="AU70" s="323"/>
      <c r="AV70" s="323"/>
      <c r="AW70" s="323"/>
      <c r="AX70" s="323"/>
      <c r="AY70" s="323"/>
      <c r="AZ70" s="325"/>
      <c r="BO70" s="159"/>
    </row>
    <row r="71" spans="3:67" s="2" customFormat="1" ht="13.5" customHeight="1">
      <c r="C71" s="309"/>
      <c r="D71" s="310"/>
      <c r="E71" s="310"/>
      <c r="F71" s="310"/>
      <c r="G71" s="310"/>
      <c r="H71" s="322"/>
      <c r="I71" s="311" t="s">
        <v>429</v>
      </c>
      <c r="J71" s="312" t="s">
        <v>430</v>
      </c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312"/>
      <c r="AO71" s="312"/>
      <c r="AP71" s="313"/>
      <c r="AQ71" s="311"/>
      <c r="AR71" s="312"/>
      <c r="AS71" s="312"/>
      <c r="AT71" s="312"/>
      <c r="AU71" s="312"/>
      <c r="AV71" s="312"/>
      <c r="AW71" s="312"/>
      <c r="AX71" s="312"/>
      <c r="AY71" s="312"/>
      <c r="AZ71" s="313"/>
      <c r="BO71" s="159"/>
    </row>
    <row r="72" spans="3:67" s="2" customFormat="1" ht="13.5" customHeight="1">
      <c r="C72" s="303"/>
      <c r="D72" s="304"/>
      <c r="E72" s="304"/>
      <c r="F72" s="304"/>
      <c r="G72" s="304"/>
      <c r="H72" s="305"/>
      <c r="I72" s="306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  <c r="AE72" s="307"/>
      <c r="AF72" s="307"/>
      <c r="AG72" s="307"/>
      <c r="AH72" s="307"/>
      <c r="AI72" s="307"/>
      <c r="AJ72" s="307"/>
      <c r="AK72" s="307"/>
      <c r="AL72" s="307"/>
      <c r="AM72" s="307"/>
      <c r="AN72" s="307"/>
      <c r="AO72" s="307"/>
      <c r="AP72" s="308"/>
      <c r="AQ72" s="306"/>
      <c r="AR72" s="307"/>
      <c r="AS72" s="307"/>
      <c r="AT72" s="307"/>
      <c r="AU72" s="307"/>
      <c r="AV72" s="307"/>
      <c r="AW72" s="307"/>
      <c r="AX72" s="307"/>
      <c r="AY72" s="307"/>
      <c r="AZ72" s="308"/>
    </row>
    <row r="73" spans="3:67" s="2" customFormat="1" ht="13.5" customHeight="1">
      <c r="C73" s="297" t="s">
        <v>412</v>
      </c>
      <c r="D73" s="298"/>
      <c r="E73" s="298"/>
      <c r="F73" s="298"/>
      <c r="G73" s="298"/>
      <c r="H73" s="299"/>
      <c r="I73" s="300" t="s">
        <v>413</v>
      </c>
      <c r="J73" s="301" t="s">
        <v>431</v>
      </c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  <c r="AD73" s="301"/>
      <c r="AE73" s="301"/>
      <c r="AF73" s="301"/>
      <c r="AG73" s="301"/>
      <c r="AH73" s="301"/>
      <c r="AI73" s="301"/>
      <c r="AJ73" s="301"/>
      <c r="AK73" s="301"/>
      <c r="AL73" s="301"/>
      <c r="AM73" s="301"/>
      <c r="AN73" s="301"/>
      <c r="AO73" s="301"/>
      <c r="AP73" s="301"/>
      <c r="AQ73" s="300" t="s">
        <v>415</v>
      </c>
      <c r="AR73" s="301"/>
      <c r="AS73" s="301"/>
      <c r="AT73" s="301"/>
      <c r="AU73" s="301"/>
      <c r="AV73" s="301"/>
      <c r="AW73" s="301"/>
      <c r="AX73" s="301"/>
      <c r="AY73" s="301"/>
      <c r="AZ73" s="302"/>
    </row>
    <row r="74" spans="3:67" s="2" customFormat="1" ht="13.5" customHeight="1">
      <c r="C74" s="309"/>
      <c r="D74" s="310"/>
      <c r="E74" s="310"/>
      <c r="F74" s="310"/>
      <c r="G74" s="310"/>
      <c r="H74" s="322"/>
      <c r="I74" s="311" t="s">
        <v>432</v>
      </c>
      <c r="J74" s="312" t="s">
        <v>433</v>
      </c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4"/>
      <c r="AR74" s="323"/>
      <c r="AS74" s="323"/>
      <c r="AT74" s="323"/>
      <c r="AU74" s="323"/>
      <c r="AV74" s="323"/>
      <c r="AW74" s="323"/>
      <c r="AX74" s="323"/>
      <c r="AY74" s="323"/>
      <c r="AZ74" s="325"/>
    </row>
    <row r="75" spans="3:67" s="2" customFormat="1" ht="13.5" customHeight="1">
      <c r="C75" s="309"/>
      <c r="D75" s="310"/>
      <c r="E75" s="310"/>
      <c r="F75" s="310"/>
      <c r="G75" s="310"/>
      <c r="H75" s="322"/>
      <c r="I75" s="311" t="s">
        <v>434</v>
      </c>
      <c r="J75" s="326" t="s">
        <v>435</v>
      </c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  <c r="AH75" s="312"/>
      <c r="AI75" s="312"/>
      <c r="AJ75" s="312"/>
      <c r="AK75" s="312"/>
      <c r="AL75" s="312"/>
      <c r="AM75" s="312"/>
      <c r="AN75" s="312"/>
      <c r="AO75" s="312"/>
      <c r="AP75" s="312"/>
      <c r="AQ75" s="311"/>
      <c r="AR75" s="312"/>
      <c r="AS75" s="312"/>
      <c r="AT75" s="312"/>
      <c r="AU75" s="312"/>
      <c r="AV75" s="312"/>
      <c r="AW75" s="312"/>
      <c r="AX75" s="312"/>
      <c r="AY75" s="312"/>
      <c r="AZ75" s="313"/>
    </row>
    <row r="76" spans="3:67" s="2" customFormat="1" ht="13.5" customHeight="1">
      <c r="C76" s="309"/>
      <c r="D76" s="310"/>
      <c r="E76" s="310"/>
      <c r="F76" s="310"/>
      <c r="G76" s="310"/>
      <c r="H76" s="322"/>
      <c r="I76" s="311" t="s">
        <v>436</v>
      </c>
      <c r="J76" s="326" t="s">
        <v>437</v>
      </c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12"/>
      <c r="AI76" s="312"/>
      <c r="AJ76" s="312"/>
      <c r="AK76" s="312"/>
      <c r="AL76" s="312"/>
      <c r="AM76" s="312"/>
      <c r="AN76" s="312"/>
      <c r="AO76" s="312"/>
      <c r="AP76" s="312"/>
      <c r="AQ76" s="311"/>
      <c r="AR76" s="312"/>
      <c r="AS76" s="312"/>
      <c r="AT76" s="312"/>
      <c r="AU76" s="312"/>
      <c r="AV76" s="312"/>
      <c r="AW76" s="312"/>
      <c r="AX76" s="312"/>
      <c r="AY76" s="312"/>
      <c r="AZ76" s="313"/>
    </row>
    <row r="77" spans="3:67" s="2" customFormat="1" ht="13.5" customHeight="1">
      <c r="C77" s="309"/>
      <c r="D77" s="310"/>
      <c r="E77" s="310"/>
      <c r="F77" s="310"/>
      <c r="G77" s="310"/>
      <c r="H77" s="322"/>
      <c r="I77" s="311" t="s">
        <v>438</v>
      </c>
      <c r="J77" s="326" t="s">
        <v>439</v>
      </c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1"/>
      <c r="AR77" s="312"/>
      <c r="AS77" s="312"/>
      <c r="AT77" s="312"/>
      <c r="AU77" s="312"/>
      <c r="AV77" s="312"/>
      <c r="AW77" s="312"/>
      <c r="AX77" s="312"/>
      <c r="AY77" s="312"/>
      <c r="AZ77" s="313"/>
    </row>
    <row r="78" spans="3:67" s="2" customFormat="1" ht="13.5" customHeight="1">
      <c r="C78" s="309"/>
      <c r="D78" s="310"/>
      <c r="E78" s="310"/>
      <c r="F78" s="310"/>
      <c r="G78" s="310"/>
      <c r="H78" s="322"/>
      <c r="I78" s="311" t="s">
        <v>440</v>
      </c>
      <c r="J78" s="326" t="s">
        <v>441</v>
      </c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  <c r="Z78" s="312"/>
      <c r="AA78" s="312"/>
      <c r="AB78" s="312"/>
      <c r="AC78" s="312"/>
      <c r="AD78" s="312"/>
      <c r="AE78" s="312"/>
      <c r="AF78" s="312"/>
      <c r="AG78" s="312"/>
      <c r="AH78" s="312"/>
      <c r="AI78" s="312"/>
      <c r="AJ78" s="312"/>
      <c r="AK78" s="312"/>
      <c r="AL78" s="312"/>
      <c r="AM78" s="312"/>
      <c r="AN78" s="312"/>
      <c r="AO78" s="312"/>
      <c r="AP78" s="312"/>
      <c r="AQ78" s="311"/>
      <c r="AR78" s="312"/>
      <c r="AS78" s="312"/>
      <c r="AT78" s="312"/>
      <c r="AU78" s="312"/>
      <c r="AV78" s="312"/>
      <c r="AW78" s="312"/>
      <c r="AX78" s="312"/>
      <c r="AY78" s="312"/>
      <c r="AZ78" s="313"/>
    </row>
    <row r="79" spans="3:67" s="2" customFormat="1" ht="13.5" customHeight="1">
      <c r="C79" s="309"/>
      <c r="D79" s="310"/>
      <c r="E79" s="310"/>
      <c r="F79" s="310"/>
      <c r="G79" s="310"/>
      <c r="H79" s="322"/>
      <c r="I79" s="311" t="s">
        <v>442</v>
      </c>
      <c r="J79" s="326" t="s">
        <v>348</v>
      </c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  <c r="AH79" s="312"/>
      <c r="AI79" s="312"/>
      <c r="AJ79" s="312"/>
      <c r="AK79" s="312"/>
      <c r="AL79" s="312"/>
      <c r="AM79" s="312"/>
      <c r="AN79" s="312"/>
      <c r="AO79" s="312"/>
      <c r="AP79" s="312"/>
      <c r="AQ79" s="311"/>
      <c r="AR79" s="312"/>
      <c r="AS79" s="312"/>
      <c r="AT79" s="312"/>
      <c r="AU79" s="312"/>
      <c r="AV79" s="312"/>
      <c r="AW79" s="312"/>
      <c r="AX79" s="312"/>
      <c r="AY79" s="312"/>
      <c r="AZ79" s="313"/>
    </row>
    <row r="80" spans="3:67" s="2" customFormat="1" ht="13.5" customHeight="1">
      <c r="C80" s="309"/>
      <c r="D80" s="310"/>
      <c r="E80" s="310"/>
      <c r="F80" s="310"/>
      <c r="G80" s="310"/>
      <c r="H80" s="322"/>
      <c r="I80" s="311" t="s">
        <v>443</v>
      </c>
      <c r="J80" s="326" t="s">
        <v>444</v>
      </c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  <c r="AH80" s="312"/>
      <c r="AI80" s="312"/>
      <c r="AJ80" s="312"/>
      <c r="AK80" s="312"/>
      <c r="AL80" s="312"/>
      <c r="AM80" s="312"/>
      <c r="AN80" s="312"/>
      <c r="AO80" s="312"/>
      <c r="AP80" s="312"/>
      <c r="AQ80" s="311"/>
      <c r="AR80" s="312"/>
      <c r="AS80" s="312"/>
      <c r="AT80" s="312"/>
      <c r="AU80" s="312"/>
      <c r="AV80" s="312"/>
      <c r="AW80" s="312"/>
      <c r="AX80" s="312"/>
      <c r="AY80" s="312"/>
      <c r="AZ80" s="313"/>
    </row>
    <row r="81" spans="3:52" s="2" customFormat="1" ht="13.5" customHeight="1">
      <c r="C81" s="309"/>
      <c r="D81" s="310"/>
      <c r="E81" s="310"/>
      <c r="F81" s="310"/>
      <c r="G81" s="310"/>
      <c r="H81" s="322"/>
      <c r="I81" s="311" t="s">
        <v>445</v>
      </c>
      <c r="J81" s="326" t="s">
        <v>446</v>
      </c>
      <c r="K81" s="312"/>
      <c r="L81" s="312"/>
      <c r="M81" s="312"/>
      <c r="N81" s="312"/>
      <c r="O81" s="312"/>
      <c r="P81" s="312"/>
      <c r="Q81" s="312"/>
      <c r="R81" s="312"/>
      <c r="S81" s="312"/>
      <c r="T81" s="312"/>
      <c r="U81" s="312"/>
      <c r="V81" s="312"/>
      <c r="W81" s="312"/>
      <c r="X81" s="312"/>
      <c r="Y81" s="312"/>
      <c r="Z81" s="312"/>
      <c r="AA81" s="312"/>
      <c r="AB81" s="312"/>
      <c r="AC81" s="312"/>
      <c r="AD81" s="312"/>
      <c r="AE81" s="312"/>
      <c r="AF81" s="312"/>
      <c r="AG81" s="312"/>
      <c r="AH81" s="312"/>
      <c r="AI81" s="312"/>
      <c r="AJ81" s="312"/>
      <c r="AK81" s="312"/>
      <c r="AL81" s="312"/>
      <c r="AM81" s="312"/>
      <c r="AN81" s="312"/>
      <c r="AO81" s="312"/>
      <c r="AP81" s="312"/>
      <c r="AQ81" s="311"/>
      <c r="AR81" s="312"/>
      <c r="AS81" s="312"/>
      <c r="AT81" s="312"/>
      <c r="AU81" s="312"/>
      <c r="AV81" s="312"/>
      <c r="AW81" s="312"/>
      <c r="AX81" s="312"/>
      <c r="AY81" s="312"/>
      <c r="AZ81" s="313"/>
    </row>
    <row r="82" spans="3:52" s="2" customFormat="1" ht="13.5" customHeight="1">
      <c r="C82" s="303"/>
      <c r="D82" s="304"/>
      <c r="E82" s="304"/>
      <c r="F82" s="304"/>
      <c r="G82" s="304"/>
      <c r="H82" s="305"/>
      <c r="I82" s="306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307"/>
      <c r="AB82" s="307"/>
      <c r="AC82" s="307"/>
      <c r="AD82" s="307"/>
      <c r="AE82" s="307"/>
      <c r="AF82" s="307"/>
      <c r="AG82" s="307"/>
      <c r="AH82" s="307"/>
      <c r="AI82" s="307"/>
      <c r="AJ82" s="307"/>
      <c r="AK82" s="307"/>
      <c r="AL82" s="307"/>
      <c r="AM82" s="307"/>
      <c r="AN82" s="307"/>
      <c r="AO82" s="307"/>
      <c r="AP82" s="307"/>
      <c r="AQ82" s="306"/>
      <c r="AR82" s="307"/>
      <c r="AS82" s="307"/>
      <c r="AT82" s="307"/>
      <c r="AU82" s="307"/>
      <c r="AV82" s="307"/>
      <c r="AW82" s="307"/>
      <c r="AX82" s="307"/>
      <c r="AY82" s="307"/>
      <c r="AZ82" s="308"/>
    </row>
    <row r="83" spans="3:52" s="2" customFormat="1" ht="13.5" customHeight="1">
      <c r="C83" s="297" t="s">
        <v>447</v>
      </c>
      <c r="D83" s="298"/>
      <c r="E83" s="298"/>
      <c r="F83" s="298"/>
      <c r="G83" s="298"/>
      <c r="H83" s="299"/>
      <c r="I83" s="327" t="s">
        <v>448</v>
      </c>
      <c r="J83" s="328"/>
      <c r="K83" s="328"/>
      <c r="L83" s="328"/>
      <c r="M83" s="328"/>
      <c r="N83" s="329" t="s">
        <v>417</v>
      </c>
      <c r="O83" s="301" t="s">
        <v>449</v>
      </c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  <c r="AA83" s="330"/>
      <c r="AB83" s="331" t="s">
        <v>425</v>
      </c>
      <c r="AC83" s="328"/>
      <c r="AD83" s="328"/>
      <c r="AE83" s="328"/>
      <c r="AF83" s="329" t="s">
        <v>450</v>
      </c>
      <c r="AG83" s="301" t="s">
        <v>449</v>
      </c>
      <c r="AH83" s="328"/>
      <c r="AI83" s="328"/>
      <c r="AJ83" s="328"/>
      <c r="AK83" s="328"/>
      <c r="AL83" s="328"/>
      <c r="AM83" s="328"/>
      <c r="AN83" s="328"/>
      <c r="AO83" s="328"/>
      <c r="AP83" s="332"/>
      <c r="AQ83" s="328"/>
      <c r="AR83" s="328"/>
      <c r="AS83" s="328"/>
      <c r="AT83" s="328"/>
      <c r="AU83" s="328"/>
      <c r="AV83" s="328"/>
      <c r="AW83" s="328"/>
      <c r="AX83" s="328"/>
      <c r="AY83" s="328"/>
      <c r="AZ83" s="332"/>
    </row>
    <row r="84" spans="3:52" s="2" customFormat="1" ht="13.5" customHeight="1">
      <c r="C84" s="309"/>
      <c r="D84" s="310"/>
      <c r="E84" s="310"/>
      <c r="F84" s="310"/>
      <c r="G84" s="310"/>
      <c r="H84" s="322"/>
      <c r="I84" s="311" t="s">
        <v>451</v>
      </c>
      <c r="J84" s="312"/>
      <c r="K84" s="312"/>
      <c r="L84" s="312"/>
      <c r="M84" s="312"/>
      <c r="N84" s="319" t="s">
        <v>417</v>
      </c>
      <c r="O84" s="312" t="s">
        <v>452</v>
      </c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Z84" s="312"/>
      <c r="AA84" s="320"/>
      <c r="AB84" s="331" t="s">
        <v>425</v>
      </c>
      <c r="AC84" s="312"/>
      <c r="AD84" s="312"/>
      <c r="AE84" s="312"/>
      <c r="AF84" s="319" t="s">
        <v>434</v>
      </c>
      <c r="AG84" s="312" t="s">
        <v>452</v>
      </c>
      <c r="AH84" s="312"/>
      <c r="AI84" s="312"/>
      <c r="AJ84" s="312"/>
      <c r="AK84" s="312"/>
      <c r="AL84" s="312"/>
      <c r="AM84" s="312"/>
      <c r="AN84" s="312"/>
      <c r="AO84" s="312"/>
      <c r="AP84" s="313"/>
      <c r="AQ84" s="312"/>
      <c r="AR84" s="312"/>
      <c r="AS84" s="312"/>
      <c r="AT84" s="312"/>
      <c r="AU84" s="312"/>
      <c r="AV84" s="312"/>
      <c r="AW84" s="312"/>
      <c r="AX84" s="312"/>
      <c r="AY84" s="312"/>
      <c r="AZ84" s="313"/>
    </row>
    <row r="85" spans="3:52" s="2" customFormat="1" ht="13.5" customHeight="1">
      <c r="C85" s="309"/>
      <c r="D85" s="310"/>
      <c r="E85" s="310"/>
      <c r="F85" s="310"/>
      <c r="G85" s="310"/>
      <c r="H85" s="322"/>
      <c r="I85" s="311" t="s">
        <v>448</v>
      </c>
      <c r="J85" s="312"/>
      <c r="K85" s="312"/>
      <c r="L85" s="312"/>
      <c r="M85" s="312"/>
      <c r="N85" s="319" t="s">
        <v>434</v>
      </c>
      <c r="O85" s="312" t="s">
        <v>452</v>
      </c>
      <c r="P85" s="312"/>
      <c r="Q85" s="312"/>
      <c r="R85" s="312"/>
      <c r="S85" s="312"/>
      <c r="T85" s="312"/>
      <c r="U85" s="312"/>
      <c r="V85" s="312"/>
      <c r="W85" s="312"/>
      <c r="X85" s="312"/>
      <c r="Y85" s="312"/>
      <c r="Z85" s="312"/>
      <c r="AA85" s="320"/>
      <c r="AB85" s="331" t="s">
        <v>425</v>
      </c>
      <c r="AC85" s="312"/>
      <c r="AD85" s="312"/>
      <c r="AE85" s="312"/>
      <c r="AF85" s="319" t="s">
        <v>436</v>
      </c>
      <c r="AG85" s="312" t="s">
        <v>452</v>
      </c>
      <c r="AH85" s="312"/>
      <c r="AI85" s="312"/>
      <c r="AJ85" s="312"/>
      <c r="AK85" s="312"/>
      <c r="AL85" s="312"/>
      <c r="AM85" s="312"/>
      <c r="AN85" s="312"/>
      <c r="AO85" s="312"/>
      <c r="AP85" s="313"/>
      <c r="AQ85" s="312"/>
      <c r="AR85" s="312"/>
      <c r="AS85" s="312"/>
      <c r="AT85" s="312"/>
      <c r="AU85" s="312"/>
      <c r="AV85" s="312"/>
      <c r="AW85" s="312"/>
      <c r="AX85" s="312"/>
      <c r="AY85" s="312"/>
      <c r="AZ85" s="313"/>
    </row>
    <row r="86" spans="3:52" s="2" customFormat="1" ht="13.5" customHeight="1">
      <c r="C86" s="309"/>
      <c r="D86" s="310"/>
      <c r="E86" s="310"/>
      <c r="F86" s="310"/>
      <c r="G86" s="310"/>
      <c r="H86" s="322"/>
      <c r="I86" s="311" t="s">
        <v>448</v>
      </c>
      <c r="J86" s="312"/>
      <c r="K86" s="312"/>
      <c r="L86" s="312"/>
      <c r="M86" s="312"/>
      <c r="N86" s="319" t="s">
        <v>453</v>
      </c>
      <c r="O86" s="312" t="s">
        <v>452</v>
      </c>
      <c r="P86" s="312"/>
      <c r="Q86" s="312"/>
      <c r="R86" s="312"/>
      <c r="S86" s="312"/>
      <c r="T86" s="312"/>
      <c r="U86" s="312"/>
      <c r="V86" s="312"/>
      <c r="W86" s="312"/>
      <c r="X86" s="312"/>
      <c r="Y86" s="312"/>
      <c r="Z86" s="312"/>
      <c r="AA86" s="320"/>
      <c r="AB86" s="331" t="s">
        <v>425</v>
      </c>
      <c r="AC86" s="312"/>
      <c r="AD86" s="312"/>
      <c r="AE86" s="312"/>
      <c r="AF86" s="319" t="s">
        <v>438</v>
      </c>
      <c r="AG86" s="312" t="s">
        <v>452</v>
      </c>
      <c r="AH86" s="312"/>
      <c r="AI86" s="312"/>
      <c r="AJ86" s="312"/>
      <c r="AK86" s="312"/>
      <c r="AL86" s="312"/>
      <c r="AM86" s="312"/>
      <c r="AN86" s="312"/>
      <c r="AO86" s="312"/>
      <c r="AP86" s="313"/>
      <c r="AQ86" s="312"/>
      <c r="AR86" s="312"/>
      <c r="AS86" s="312"/>
      <c r="AT86" s="312"/>
      <c r="AU86" s="312"/>
      <c r="AV86" s="312"/>
      <c r="AW86" s="312"/>
      <c r="AX86" s="312"/>
      <c r="AY86" s="312"/>
      <c r="AZ86" s="313"/>
    </row>
    <row r="87" spans="3:52" s="2" customFormat="1" ht="13.5" customHeight="1">
      <c r="C87" s="309"/>
      <c r="D87" s="310"/>
      <c r="E87" s="310"/>
      <c r="F87" s="310"/>
      <c r="G87" s="310"/>
      <c r="H87" s="322"/>
      <c r="I87" s="311" t="s">
        <v>448</v>
      </c>
      <c r="J87" s="312"/>
      <c r="K87" s="312"/>
      <c r="L87" s="312"/>
      <c r="M87" s="312"/>
      <c r="N87" s="319" t="s">
        <v>436</v>
      </c>
      <c r="O87" s="312" t="s">
        <v>454</v>
      </c>
      <c r="P87" s="312"/>
      <c r="Q87" s="312"/>
      <c r="R87" s="312"/>
      <c r="S87" s="312"/>
      <c r="T87" s="312"/>
      <c r="U87" s="312"/>
      <c r="V87" s="312"/>
      <c r="W87" s="312"/>
      <c r="X87" s="312"/>
      <c r="Y87" s="312"/>
      <c r="Z87" s="312"/>
      <c r="AA87" s="320"/>
      <c r="AB87" s="331" t="s">
        <v>425</v>
      </c>
      <c r="AC87" s="312"/>
      <c r="AD87" s="312"/>
      <c r="AE87" s="312"/>
      <c r="AF87" s="319" t="s">
        <v>440</v>
      </c>
      <c r="AG87" s="312" t="s">
        <v>454</v>
      </c>
      <c r="AH87" s="312"/>
      <c r="AI87" s="312"/>
      <c r="AJ87" s="312"/>
      <c r="AK87" s="312"/>
      <c r="AL87" s="312"/>
      <c r="AM87" s="312"/>
      <c r="AN87" s="312"/>
      <c r="AO87" s="312"/>
      <c r="AP87" s="313"/>
      <c r="AQ87" s="312"/>
      <c r="AR87" s="312"/>
      <c r="AS87" s="312"/>
      <c r="AT87" s="312"/>
      <c r="AU87" s="312"/>
      <c r="AV87" s="312"/>
      <c r="AW87" s="312"/>
      <c r="AX87" s="312"/>
      <c r="AY87" s="312"/>
      <c r="AZ87" s="313"/>
    </row>
    <row r="88" spans="3:52" s="2" customFormat="1" ht="13.5" customHeight="1">
      <c r="C88" s="309"/>
      <c r="D88" s="310"/>
      <c r="E88" s="310"/>
      <c r="F88" s="310"/>
      <c r="G88" s="310"/>
      <c r="H88" s="322"/>
      <c r="I88" s="311" t="s">
        <v>448</v>
      </c>
      <c r="J88" s="312"/>
      <c r="K88" s="312"/>
      <c r="L88" s="312"/>
      <c r="M88" s="312"/>
      <c r="N88" s="319" t="s">
        <v>417</v>
      </c>
      <c r="O88" s="312" t="s">
        <v>455</v>
      </c>
      <c r="P88" s="312"/>
      <c r="Q88" s="312"/>
      <c r="R88" s="312"/>
      <c r="S88" s="312"/>
      <c r="T88" s="312"/>
      <c r="U88" s="312"/>
      <c r="V88" s="312"/>
      <c r="W88" s="312"/>
      <c r="X88" s="312"/>
      <c r="Y88" s="312"/>
      <c r="Z88" s="312"/>
      <c r="AA88" s="320"/>
      <c r="AB88" s="331" t="s">
        <v>425</v>
      </c>
      <c r="AC88" s="312"/>
      <c r="AD88" s="312"/>
      <c r="AE88" s="312"/>
      <c r="AF88" s="319" t="s">
        <v>442</v>
      </c>
      <c r="AG88" s="312" t="s">
        <v>455</v>
      </c>
      <c r="AH88" s="312"/>
      <c r="AI88" s="312"/>
      <c r="AJ88" s="312"/>
      <c r="AK88" s="312"/>
      <c r="AL88" s="312"/>
      <c r="AM88" s="312"/>
      <c r="AN88" s="312"/>
      <c r="AO88" s="312"/>
      <c r="AP88" s="313"/>
      <c r="AQ88" s="312"/>
      <c r="AR88" s="312"/>
      <c r="AS88" s="312"/>
      <c r="AT88" s="312"/>
      <c r="AU88" s="312"/>
      <c r="AV88" s="312"/>
      <c r="AW88" s="312"/>
      <c r="AX88" s="312"/>
      <c r="AY88" s="312"/>
      <c r="AZ88" s="313"/>
    </row>
    <row r="89" spans="3:52" s="2" customFormat="1" ht="13.5" customHeight="1">
      <c r="C89" s="309"/>
      <c r="D89" s="310"/>
      <c r="E89" s="310"/>
      <c r="F89" s="310"/>
      <c r="G89" s="310"/>
      <c r="H89" s="322"/>
      <c r="I89" s="311" t="s">
        <v>448</v>
      </c>
      <c r="J89" s="312"/>
      <c r="K89" s="312"/>
      <c r="L89" s="312"/>
      <c r="M89" s="312"/>
      <c r="N89" s="319" t="s">
        <v>417</v>
      </c>
      <c r="O89" s="312" t="s">
        <v>456</v>
      </c>
      <c r="P89" s="312"/>
      <c r="Q89" s="312"/>
      <c r="R89" s="312"/>
      <c r="S89" s="312"/>
      <c r="T89" s="312"/>
      <c r="U89" s="312"/>
      <c r="V89" s="312"/>
      <c r="W89" s="312"/>
      <c r="X89" s="312"/>
      <c r="Y89" s="312"/>
      <c r="Z89" s="312"/>
      <c r="AA89" s="320"/>
      <c r="AB89" s="331" t="s">
        <v>425</v>
      </c>
      <c r="AC89" s="312"/>
      <c r="AD89" s="312"/>
      <c r="AE89" s="312"/>
      <c r="AF89" s="319" t="s">
        <v>443</v>
      </c>
      <c r="AG89" s="312" t="s">
        <v>456</v>
      </c>
      <c r="AH89" s="312"/>
      <c r="AI89" s="312"/>
      <c r="AJ89" s="312"/>
      <c r="AK89" s="312"/>
      <c r="AL89" s="312"/>
      <c r="AM89" s="312"/>
      <c r="AN89" s="312"/>
      <c r="AO89" s="312"/>
      <c r="AP89" s="313"/>
      <c r="AQ89" s="312"/>
      <c r="AR89" s="312"/>
      <c r="AS89" s="312"/>
      <c r="AT89" s="312"/>
      <c r="AU89" s="312"/>
      <c r="AV89" s="312"/>
      <c r="AW89" s="312"/>
      <c r="AX89" s="312"/>
      <c r="AY89" s="312"/>
      <c r="AZ89" s="313"/>
    </row>
    <row r="90" spans="3:52" s="2" customFormat="1" ht="13.5" customHeight="1">
      <c r="C90" s="309"/>
      <c r="D90" s="310"/>
      <c r="E90" s="310"/>
      <c r="F90" s="310"/>
      <c r="G90" s="310"/>
      <c r="H90" s="322"/>
      <c r="I90" s="311" t="s">
        <v>448</v>
      </c>
      <c r="J90" s="312"/>
      <c r="K90" s="312"/>
      <c r="L90" s="312"/>
      <c r="M90" s="312"/>
      <c r="N90" s="319" t="s">
        <v>417</v>
      </c>
      <c r="O90" s="312" t="s">
        <v>457</v>
      </c>
      <c r="P90" s="312"/>
      <c r="Q90" s="312"/>
      <c r="R90" s="312"/>
      <c r="S90" s="312"/>
      <c r="T90" s="312"/>
      <c r="U90" s="312"/>
      <c r="V90" s="312"/>
      <c r="W90" s="312"/>
      <c r="X90" s="312"/>
      <c r="Y90" s="312"/>
      <c r="Z90" s="312"/>
      <c r="AA90" s="320"/>
      <c r="AB90" s="331" t="s">
        <v>425</v>
      </c>
      <c r="AC90" s="312"/>
      <c r="AD90" s="312"/>
      <c r="AE90" s="312"/>
      <c r="AF90" s="319" t="s">
        <v>445</v>
      </c>
      <c r="AG90" s="312" t="s">
        <v>457</v>
      </c>
      <c r="AH90" s="312"/>
      <c r="AI90" s="312"/>
      <c r="AJ90" s="312"/>
      <c r="AK90" s="312"/>
      <c r="AL90" s="312"/>
      <c r="AM90" s="312"/>
      <c r="AN90" s="312"/>
      <c r="AO90" s="312"/>
      <c r="AP90" s="313"/>
      <c r="AQ90" s="312"/>
      <c r="AR90" s="312"/>
      <c r="AS90" s="312"/>
      <c r="AT90" s="312"/>
      <c r="AU90" s="312"/>
      <c r="AV90" s="312"/>
      <c r="AW90" s="312"/>
      <c r="AX90" s="312"/>
      <c r="AY90" s="312"/>
      <c r="AZ90" s="313"/>
    </row>
    <row r="91" spans="3:52" s="2" customFormat="1" ht="13.5" customHeight="1">
      <c r="C91" s="303"/>
      <c r="D91" s="304"/>
      <c r="E91" s="304"/>
      <c r="F91" s="304"/>
      <c r="G91" s="304"/>
      <c r="H91" s="305"/>
      <c r="I91" s="306"/>
      <c r="J91" s="307"/>
      <c r="K91" s="307"/>
      <c r="L91" s="307"/>
      <c r="M91" s="307"/>
      <c r="N91" s="31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18"/>
      <c r="AB91" s="307"/>
      <c r="AC91" s="307"/>
      <c r="AD91" s="307"/>
      <c r="AE91" s="307"/>
      <c r="AF91" s="317"/>
      <c r="AG91" s="307"/>
      <c r="AH91" s="307"/>
      <c r="AI91" s="307"/>
      <c r="AJ91" s="307"/>
      <c r="AK91" s="307"/>
      <c r="AL91" s="307"/>
      <c r="AM91" s="307"/>
      <c r="AN91" s="307"/>
      <c r="AO91" s="307"/>
      <c r="AP91" s="308"/>
      <c r="AQ91" s="312"/>
      <c r="AR91" s="312"/>
      <c r="AS91" s="312"/>
      <c r="AT91" s="312"/>
      <c r="AU91" s="312"/>
      <c r="AV91" s="312"/>
      <c r="AW91" s="312"/>
      <c r="AX91" s="312"/>
      <c r="AY91" s="312"/>
      <c r="AZ91" s="313"/>
    </row>
    <row r="92" spans="3:52" s="2" customFormat="1" ht="13.5" customHeight="1">
      <c r="C92" s="297" t="s">
        <v>416</v>
      </c>
      <c r="D92" s="298"/>
      <c r="E92" s="298"/>
      <c r="F92" s="298"/>
      <c r="G92" s="298"/>
      <c r="H92" s="299"/>
      <c r="I92" s="300"/>
      <c r="J92" s="301"/>
      <c r="K92" s="301"/>
      <c r="L92" s="301"/>
      <c r="M92" s="314" t="s">
        <v>458</v>
      </c>
      <c r="N92" s="301" t="s">
        <v>459</v>
      </c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15"/>
      <c r="AB92" s="301" t="s">
        <v>425</v>
      </c>
      <c r="AC92" s="301"/>
      <c r="AD92" s="301"/>
      <c r="AE92" s="301"/>
      <c r="AF92" s="314" t="s">
        <v>460</v>
      </c>
      <c r="AG92" s="301"/>
      <c r="AH92" s="301"/>
      <c r="AI92" s="301"/>
      <c r="AJ92" s="301"/>
      <c r="AK92" s="301"/>
      <c r="AL92" s="301"/>
      <c r="AM92" s="301"/>
      <c r="AN92" s="301"/>
      <c r="AO92" s="301"/>
      <c r="AP92" s="302"/>
      <c r="AQ92" s="301"/>
      <c r="AR92" s="301"/>
      <c r="AS92" s="301"/>
      <c r="AT92" s="301"/>
      <c r="AU92" s="301"/>
      <c r="AV92" s="301"/>
      <c r="AW92" s="301"/>
      <c r="AX92" s="301"/>
      <c r="AY92" s="301"/>
      <c r="AZ92" s="302"/>
    </row>
    <row r="93" spans="3:52" s="2" customFormat="1" ht="13.5" customHeight="1">
      <c r="C93" s="309"/>
      <c r="D93" s="310"/>
      <c r="E93" s="310"/>
      <c r="F93" s="310"/>
      <c r="G93" s="310"/>
      <c r="H93" s="322"/>
      <c r="I93" s="324" t="s">
        <v>423</v>
      </c>
      <c r="J93" s="323"/>
      <c r="K93" s="323"/>
      <c r="L93" s="323"/>
      <c r="M93" s="319" t="s">
        <v>413</v>
      </c>
      <c r="N93" s="312" t="s">
        <v>461</v>
      </c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  <c r="Z93" s="312"/>
      <c r="AA93" s="320"/>
      <c r="AB93" s="331" t="s">
        <v>425</v>
      </c>
      <c r="AC93" s="312"/>
      <c r="AD93" s="312"/>
      <c r="AE93" s="312"/>
      <c r="AF93" s="319" t="s">
        <v>462</v>
      </c>
      <c r="AG93" s="323"/>
      <c r="AH93" s="323"/>
      <c r="AI93" s="323"/>
      <c r="AJ93" s="323"/>
      <c r="AK93" s="323"/>
      <c r="AL93" s="323"/>
      <c r="AM93" s="323"/>
      <c r="AN93" s="323"/>
      <c r="AO93" s="323"/>
      <c r="AP93" s="325"/>
      <c r="AQ93" s="323"/>
      <c r="AR93" s="323"/>
      <c r="AS93" s="323"/>
      <c r="AT93" s="323"/>
      <c r="AU93" s="323"/>
      <c r="AV93" s="323"/>
      <c r="AW93" s="323"/>
      <c r="AX93" s="323"/>
      <c r="AY93" s="323"/>
      <c r="AZ93" s="325"/>
    </row>
    <row r="94" spans="3:52" s="2" customFormat="1" ht="13.5" customHeight="1">
      <c r="C94" s="309"/>
      <c r="D94" s="310"/>
      <c r="E94" s="310"/>
      <c r="F94" s="310"/>
      <c r="G94" s="310"/>
      <c r="H94" s="322"/>
      <c r="I94" s="324" t="s">
        <v>423</v>
      </c>
      <c r="J94" s="312"/>
      <c r="K94" s="312"/>
      <c r="L94" s="312"/>
      <c r="M94" s="319" t="s">
        <v>413</v>
      </c>
      <c r="N94" s="312" t="s">
        <v>463</v>
      </c>
      <c r="O94" s="312"/>
      <c r="P94" s="312"/>
      <c r="Q94" s="312"/>
      <c r="R94" s="312"/>
      <c r="S94" s="312"/>
      <c r="T94" s="312"/>
      <c r="U94" s="312"/>
      <c r="V94" s="312"/>
      <c r="W94" s="312"/>
      <c r="X94" s="312"/>
      <c r="Y94" s="312"/>
      <c r="Z94" s="312"/>
      <c r="AA94" s="320"/>
      <c r="AB94" s="331" t="s">
        <v>425</v>
      </c>
      <c r="AC94" s="312"/>
      <c r="AD94" s="312"/>
      <c r="AE94" s="312"/>
      <c r="AF94" s="319" t="s">
        <v>464</v>
      </c>
      <c r="AG94" s="312"/>
      <c r="AH94" s="312"/>
      <c r="AI94" s="312"/>
      <c r="AJ94" s="312"/>
      <c r="AK94" s="312"/>
      <c r="AL94" s="312"/>
      <c r="AM94" s="312"/>
      <c r="AN94" s="312"/>
      <c r="AO94" s="312"/>
      <c r="AP94" s="313"/>
      <c r="AQ94" s="312"/>
      <c r="AR94" s="312"/>
      <c r="AS94" s="312"/>
      <c r="AT94" s="312"/>
      <c r="AU94" s="312"/>
      <c r="AV94" s="312"/>
      <c r="AW94" s="312"/>
      <c r="AX94" s="312"/>
      <c r="AY94" s="312"/>
      <c r="AZ94" s="313"/>
    </row>
    <row r="95" spans="3:52" s="2" customFormat="1" ht="13.5" customHeight="1">
      <c r="C95" s="309"/>
      <c r="D95" s="310"/>
      <c r="E95" s="310"/>
      <c r="F95" s="310"/>
      <c r="G95" s="310"/>
      <c r="H95" s="322"/>
      <c r="I95" s="324" t="s">
        <v>423</v>
      </c>
      <c r="J95" s="312"/>
      <c r="K95" s="312"/>
      <c r="L95" s="312"/>
      <c r="M95" s="319" t="s">
        <v>413</v>
      </c>
      <c r="N95" s="312" t="s">
        <v>465</v>
      </c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  <c r="Z95" s="312"/>
      <c r="AA95" s="320"/>
      <c r="AB95" s="331" t="s">
        <v>425</v>
      </c>
      <c r="AC95" s="312"/>
      <c r="AD95" s="312"/>
      <c r="AE95" s="312"/>
      <c r="AF95" s="319" t="s">
        <v>466</v>
      </c>
      <c r="AG95" s="312"/>
      <c r="AH95" s="312"/>
      <c r="AI95" s="312"/>
      <c r="AJ95" s="312"/>
      <c r="AK95" s="312"/>
      <c r="AL95" s="312"/>
      <c r="AM95" s="312"/>
      <c r="AN95" s="312"/>
      <c r="AO95" s="312"/>
      <c r="AP95" s="313"/>
      <c r="AQ95" s="312"/>
      <c r="AR95" s="312"/>
      <c r="AS95" s="312"/>
      <c r="AT95" s="312"/>
      <c r="AU95" s="312"/>
      <c r="AV95" s="312"/>
      <c r="AW95" s="312"/>
      <c r="AX95" s="312"/>
      <c r="AY95" s="312"/>
      <c r="AZ95" s="313"/>
    </row>
    <row r="96" spans="3:52" s="2" customFormat="1" ht="13.5" customHeight="1">
      <c r="C96" s="309"/>
      <c r="D96" s="310"/>
      <c r="E96" s="310"/>
      <c r="F96" s="310"/>
      <c r="G96" s="310"/>
      <c r="H96" s="322"/>
      <c r="I96" s="324" t="s">
        <v>423</v>
      </c>
      <c r="J96" s="312"/>
      <c r="K96" s="312"/>
      <c r="L96" s="312"/>
      <c r="M96" s="319" t="s">
        <v>413</v>
      </c>
      <c r="N96" s="312" t="s">
        <v>467</v>
      </c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320"/>
      <c r="AB96" s="331" t="s">
        <v>425</v>
      </c>
      <c r="AC96" s="312"/>
      <c r="AD96" s="312"/>
      <c r="AE96" s="312"/>
      <c r="AF96" s="333" t="s">
        <v>468</v>
      </c>
      <c r="AG96" s="312"/>
      <c r="AH96" s="312"/>
      <c r="AI96" s="312"/>
      <c r="AJ96" s="312"/>
      <c r="AK96" s="312"/>
      <c r="AL96" s="312"/>
      <c r="AM96" s="312"/>
      <c r="AN96" s="312"/>
      <c r="AO96" s="312"/>
      <c r="AP96" s="313"/>
      <c r="AQ96" s="312"/>
      <c r="AR96" s="312"/>
      <c r="AS96" s="312"/>
      <c r="AT96" s="312"/>
      <c r="AU96" s="312"/>
      <c r="AV96" s="312"/>
      <c r="AW96" s="312"/>
      <c r="AX96" s="312"/>
      <c r="AY96" s="312"/>
      <c r="AZ96" s="313"/>
    </row>
    <row r="97" spans="3:67" s="2" customFormat="1" ht="13.5" customHeight="1">
      <c r="C97" s="309"/>
      <c r="D97" s="310"/>
      <c r="E97" s="310"/>
      <c r="F97" s="310"/>
      <c r="G97" s="310"/>
      <c r="H97" s="322"/>
      <c r="I97" s="324" t="s">
        <v>423</v>
      </c>
      <c r="J97" s="312"/>
      <c r="K97" s="312"/>
      <c r="L97" s="312"/>
      <c r="M97" s="319" t="s">
        <v>432</v>
      </c>
      <c r="N97" s="312" t="s">
        <v>467</v>
      </c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  <c r="Z97" s="312"/>
      <c r="AA97" s="320"/>
      <c r="AB97" s="331" t="s">
        <v>425</v>
      </c>
      <c r="AC97" s="312"/>
      <c r="AD97" s="312"/>
      <c r="AE97" s="312"/>
      <c r="AF97" s="333" t="s">
        <v>468</v>
      </c>
      <c r="AG97" s="312"/>
      <c r="AH97" s="312"/>
      <c r="AI97" s="312"/>
      <c r="AJ97" s="312"/>
      <c r="AK97" s="312"/>
      <c r="AL97" s="312"/>
      <c r="AM97" s="312"/>
      <c r="AN97" s="312"/>
      <c r="AO97" s="312"/>
      <c r="AP97" s="313"/>
      <c r="AQ97" s="312"/>
      <c r="AR97" s="312"/>
      <c r="AS97" s="312"/>
      <c r="AT97" s="312"/>
      <c r="AU97" s="312"/>
      <c r="AV97" s="312"/>
      <c r="AW97" s="312"/>
      <c r="AX97" s="312"/>
      <c r="AY97" s="312"/>
      <c r="AZ97" s="313"/>
    </row>
    <row r="98" spans="3:67" s="2" customFormat="1" ht="13.5" customHeight="1">
      <c r="C98" s="309"/>
      <c r="D98" s="310"/>
      <c r="E98" s="310"/>
      <c r="F98" s="310"/>
      <c r="G98" s="310"/>
      <c r="H98" s="322"/>
      <c r="I98" s="324" t="s">
        <v>423</v>
      </c>
      <c r="J98" s="312"/>
      <c r="K98" s="312"/>
      <c r="L98" s="312"/>
      <c r="M98" s="319" t="s">
        <v>453</v>
      </c>
      <c r="N98" s="312" t="s">
        <v>467</v>
      </c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320"/>
      <c r="AB98" s="331" t="s">
        <v>425</v>
      </c>
      <c r="AC98" s="312"/>
      <c r="AD98" s="312"/>
      <c r="AE98" s="312"/>
      <c r="AF98" s="333" t="s">
        <v>468</v>
      </c>
      <c r="AG98" s="312"/>
      <c r="AH98" s="312"/>
      <c r="AI98" s="312"/>
      <c r="AJ98" s="312"/>
      <c r="AK98" s="312"/>
      <c r="AL98" s="312"/>
      <c r="AM98" s="312"/>
      <c r="AN98" s="312"/>
      <c r="AO98" s="312"/>
      <c r="AP98" s="313"/>
      <c r="AQ98" s="312"/>
      <c r="AR98" s="312"/>
      <c r="AS98" s="312"/>
      <c r="AT98" s="312"/>
      <c r="AU98" s="312"/>
      <c r="AV98" s="312"/>
      <c r="AW98" s="312"/>
      <c r="AX98" s="312"/>
      <c r="AY98" s="312"/>
      <c r="AZ98" s="313"/>
    </row>
    <row r="99" spans="3:67" s="2" customFormat="1" ht="13.5" customHeight="1">
      <c r="C99" s="309"/>
      <c r="D99" s="310"/>
      <c r="E99" s="310"/>
      <c r="F99" s="310"/>
      <c r="G99" s="310"/>
      <c r="H99" s="322"/>
      <c r="I99" s="324" t="s">
        <v>423</v>
      </c>
      <c r="J99" s="312"/>
      <c r="K99" s="312"/>
      <c r="L99" s="312"/>
      <c r="M99" s="319" t="s">
        <v>469</v>
      </c>
      <c r="N99" s="312" t="s">
        <v>467</v>
      </c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  <c r="Z99" s="312"/>
      <c r="AA99" s="320"/>
      <c r="AB99" s="331" t="s">
        <v>425</v>
      </c>
      <c r="AC99" s="312"/>
      <c r="AD99" s="312"/>
      <c r="AE99" s="312"/>
      <c r="AF99" s="333" t="s">
        <v>468</v>
      </c>
      <c r="AG99" s="312"/>
      <c r="AH99" s="312"/>
      <c r="AI99" s="312"/>
      <c r="AJ99" s="312"/>
      <c r="AK99" s="312"/>
      <c r="AL99" s="312"/>
      <c r="AM99" s="312"/>
      <c r="AN99" s="312"/>
      <c r="AO99" s="312"/>
      <c r="AP99" s="313"/>
      <c r="AQ99" s="312"/>
      <c r="AR99" s="312"/>
      <c r="AS99" s="312"/>
      <c r="AT99" s="312"/>
      <c r="AU99" s="312"/>
      <c r="AV99" s="312"/>
      <c r="AW99" s="312"/>
      <c r="AX99" s="312"/>
      <c r="AY99" s="312"/>
      <c r="AZ99" s="313"/>
    </row>
    <row r="100" spans="3:67" s="2" customFormat="1" ht="13.5" customHeight="1">
      <c r="C100" s="309"/>
      <c r="D100" s="310"/>
      <c r="E100" s="310"/>
      <c r="F100" s="310"/>
      <c r="G100" s="310"/>
      <c r="H100" s="322"/>
      <c r="I100" s="324" t="s">
        <v>423</v>
      </c>
      <c r="J100" s="312"/>
      <c r="K100" s="312"/>
      <c r="L100" s="312"/>
      <c r="M100" s="319" t="s">
        <v>470</v>
      </c>
      <c r="N100" s="312" t="s">
        <v>467</v>
      </c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  <c r="Z100" s="312"/>
      <c r="AA100" s="320"/>
      <c r="AB100" s="331" t="s">
        <v>425</v>
      </c>
      <c r="AC100" s="312"/>
      <c r="AD100" s="312"/>
      <c r="AE100" s="312"/>
      <c r="AF100" s="333" t="s">
        <v>468</v>
      </c>
      <c r="AG100" s="312"/>
      <c r="AH100" s="312"/>
      <c r="AI100" s="312"/>
      <c r="AJ100" s="312"/>
      <c r="AK100" s="312"/>
      <c r="AL100" s="312"/>
      <c r="AM100" s="312"/>
      <c r="AN100" s="312"/>
      <c r="AO100" s="312"/>
      <c r="AP100" s="313"/>
      <c r="AQ100" s="312"/>
      <c r="AR100" s="312"/>
      <c r="AS100" s="312"/>
      <c r="AT100" s="312"/>
      <c r="AU100" s="312"/>
      <c r="AV100" s="312"/>
      <c r="AW100" s="312"/>
      <c r="AX100" s="312"/>
      <c r="AY100" s="312"/>
      <c r="AZ100" s="313"/>
    </row>
    <row r="101" spans="3:67" s="2" customFormat="1" ht="13.5" customHeight="1">
      <c r="C101" s="309"/>
      <c r="D101" s="310"/>
      <c r="E101" s="310"/>
      <c r="F101" s="310"/>
      <c r="G101" s="310"/>
      <c r="H101" s="322"/>
      <c r="I101" s="324" t="s">
        <v>423</v>
      </c>
      <c r="J101" s="312"/>
      <c r="K101" s="312"/>
      <c r="L101" s="312"/>
      <c r="M101" s="319" t="s">
        <v>429</v>
      </c>
      <c r="N101" s="312" t="s">
        <v>467</v>
      </c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20"/>
      <c r="AB101" s="331" t="s">
        <v>425</v>
      </c>
      <c r="AC101" s="312"/>
      <c r="AD101" s="312"/>
      <c r="AE101" s="312"/>
      <c r="AF101" s="333" t="s">
        <v>468</v>
      </c>
      <c r="AG101" s="312"/>
      <c r="AH101" s="312"/>
      <c r="AI101" s="312"/>
      <c r="AJ101" s="312"/>
      <c r="AK101" s="312"/>
      <c r="AL101" s="312"/>
      <c r="AM101" s="312"/>
      <c r="AN101" s="312"/>
      <c r="AO101" s="312"/>
      <c r="AP101" s="313"/>
      <c r="AQ101" s="312"/>
      <c r="AR101" s="312"/>
      <c r="AS101" s="312"/>
      <c r="AT101" s="312"/>
      <c r="AU101" s="312"/>
      <c r="AV101" s="312"/>
      <c r="AW101" s="312"/>
      <c r="AX101" s="312"/>
      <c r="AY101" s="312"/>
      <c r="AZ101" s="313"/>
    </row>
    <row r="102" spans="3:67" s="2" customFormat="1" ht="13.5" customHeight="1">
      <c r="C102" s="309"/>
      <c r="D102" s="310"/>
      <c r="E102" s="310"/>
      <c r="F102" s="310"/>
      <c r="G102" s="310"/>
      <c r="H102" s="322"/>
      <c r="I102" s="324" t="s">
        <v>423</v>
      </c>
      <c r="J102" s="312"/>
      <c r="K102" s="312"/>
      <c r="L102" s="312"/>
      <c r="M102" s="319" t="s">
        <v>442</v>
      </c>
      <c r="N102" s="312" t="s">
        <v>467</v>
      </c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320"/>
      <c r="AB102" s="331" t="s">
        <v>425</v>
      </c>
      <c r="AC102" s="312"/>
      <c r="AD102" s="312"/>
      <c r="AE102" s="312"/>
      <c r="AF102" s="333" t="s">
        <v>468</v>
      </c>
      <c r="AG102" s="312"/>
      <c r="AH102" s="312"/>
      <c r="AI102" s="312"/>
      <c r="AJ102" s="312"/>
      <c r="AK102" s="312"/>
      <c r="AL102" s="312"/>
      <c r="AM102" s="312"/>
      <c r="AN102" s="312"/>
      <c r="AO102" s="312"/>
      <c r="AP102" s="313"/>
      <c r="AQ102" s="312"/>
      <c r="AR102" s="312"/>
      <c r="AS102" s="312"/>
      <c r="AT102" s="312"/>
      <c r="AU102" s="312"/>
      <c r="AV102" s="312"/>
      <c r="AW102" s="312"/>
      <c r="AX102" s="312"/>
      <c r="AY102" s="312"/>
      <c r="AZ102" s="313"/>
    </row>
    <row r="103" spans="3:67" s="2" customFormat="1" ht="13.5" customHeight="1">
      <c r="C103" s="309"/>
      <c r="D103" s="310"/>
      <c r="E103" s="310"/>
      <c r="F103" s="310"/>
      <c r="G103" s="310"/>
      <c r="H103" s="322"/>
      <c r="I103" s="324" t="s">
        <v>423</v>
      </c>
      <c r="J103" s="312"/>
      <c r="K103" s="312"/>
      <c r="L103" s="312"/>
      <c r="M103" s="319" t="s">
        <v>443</v>
      </c>
      <c r="N103" s="312" t="s">
        <v>467</v>
      </c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  <c r="Z103" s="312"/>
      <c r="AA103" s="320"/>
      <c r="AB103" s="331" t="s">
        <v>425</v>
      </c>
      <c r="AC103" s="312"/>
      <c r="AD103" s="312"/>
      <c r="AE103" s="312"/>
      <c r="AF103" s="333" t="s">
        <v>468</v>
      </c>
      <c r="AG103" s="312"/>
      <c r="AH103" s="312"/>
      <c r="AI103" s="312"/>
      <c r="AJ103" s="312"/>
      <c r="AK103" s="312"/>
      <c r="AL103" s="312"/>
      <c r="AM103" s="312"/>
      <c r="AN103" s="312"/>
      <c r="AO103" s="312"/>
      <c r="AP103" s="313"/>
      <c r="AQ103" s="312"/>
      <c r="AR103" s="312"/>
      <c r="AS103" s="312"/>
      <c r="AT103" s="312"/>
      <c r="AU103" s="312"/>
      <c r="AV103" s="312"/>
      <c r="AW103" s="312"/>
      <c r="AX103" s="312"/>
      <c r="AY103" s="312"/>
      <c r="AZ103" s="313"/>
    </row>
    <row r="104" spans="3:67" s="2" customFormat="1" ht="13.5" customHeight="1">
      <c r="C104" s="309"/>
      <c r="D104" s="310"/>
      <c r="E104" s="310"/>
      <c r="F104" s="310"/>
      <c r="G104" s="310"/>
      <c r="H104" s="322"/>
      <c r="I104" s="324" t="s">
        <v>423</v>
      </c>
      <c r="J104" s="312"/>
      <c r="K104" s="312"/>
      <c r="L104" s="312"/>
      <c r="M104" s="319" t="s">
        <v>445</v>
      </c>
      <c r="N104" s="312" t="s">
        <v>467</v>
      </c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  <c r="Z104" s="312"/>
      <c r="AA104" s="320"/>
      <c r="AB104" s="331" t="s">
        <v>425</v>
      </c>
      <c r="AC104" s="312"/>
      <c r="AD104" s="312"/>
      <c r="AE104" s="312"/>
      <c r="AF104" s="333" t="s">
        <v>468</v>
      </c>
      <c r="AG104" s="312"/>
      <c r="AH104" s="312"/>
      <c r="AI104" s="312"/>
      <c r="AJ104" s="312"/>
      <c r="AK104" s="312"/>
      <c r="AL104" s="312"/>
      <c r="AM104" s="312"/>
      <c r="AN104" s="312"/>
      <c r="AO104" s="312"/>
      <c r="AP104" s="313"/>
      <c r="AQ104" s="312"/>
      <c r="AR104" s="312"/>
      <c r="AS104" s="312"/>
      <c r="AT104" s="312"/>
      <c r="AU104" s="312"/>
      <c r="AV104" s="312"/>
      <c r="AW104" s="312"/>
      <c r="AX104" s="312"/>
      <c r="AY104" s="312"/>
      <c r="AZ104" s="313"/>
    </row>
    <row r="105" spans="3:67" s="2" customFormat="1" ht="13.5" customHeight="1">
      <c r="C105" s="309"/>
      <c r="D105" s="310"/>
      <c r="E105" s="310"/>
      <c r="F105" s="310"/>
      <c r="G105" s="310"/>
      <c r="H105" s="322"/>
      <c r="I105" s="311"/>
      <c r="J105" s="312"/>
      <c r="K105" s="312"/>
      <c r="L105" s="312"/>
      <c r="M105" s="319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320"/>
      <c r="AB105" s="312"/>
      <c r="AC105" s="312"/>
      <c r="AD105" s="312"/>
      <c r="AE105" s="312"/>
      <c r="AF105" s="319"/>
      <c r="AG105" s="312"/>
      <c r="AH105" s="312"/>
      <c r="AI105" s="312"/>
      <c r="AJ105" s="312"/>
      <c r="AK105" s="312"/>
      <c r="AL105" s="312"/>
      <c r="AM105" s="312"/>
      <c r="AN105" s="312"/>
      <c r="AO105" s="312"/>
      <c r="AP105" s="313"/>
      <c r="AQ105" s="312"/>
      <c r="AR105" s="312"/>
      <c r="AS105" s="312"/>
      <c r="AT105" s="312"/>
      <c r="AU105" s="312"/>
      <c r="AV105" s="312"/>
      <c r="AW105" s="312"/>
      <c r="AX105" s="312"/>
      <c r="AY105" s="312"/>
      <c r="AZ105" s="313"/>
    </row>
    <row r="106" spans="3:67" s="2" customFormat="1" ht="13.5" customHeight="1">
      <c r="C106" s="297" t="s">
        <v>471</v>
      </c>
      <c r="D106" s="298"/>
      <c r="E106" s="298"/>
      <c r="F106" s="298"/>
      <c r="G106" s="334"/>
      <c r="H106" s="299"/>
      <c r="I106" s="300" t="s">
        <v>417</v>
      </c>
      <c r="J106" s="301" t="s">
        <v>449</v>
      </c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  <c r="AC106" s="301"/>
      <c r="AD106" s="301"/>
      <c r="AE106" s="301"/>
      <c r="AF106" s="301"/>
      <c r="AG106" s="301"/>
      <c r="AH106" s="301"/>
      <c r="AI106" s="301"/>
      <c r="AJ106" s="301"/>
      <c r="AK106" s="301"/>
      <c r="AL106" s="301"/>
      <c r="AM106" s="301"/>
      <c r="AN106" s="301"/>
      <c r="AO106" s="301"/>
      <c r="AP106" s="301"/>
      <c r="AQ106" s="300" t="s">
        <v>472</v>
      </c>
      <c r="AR106" s="301"/>
      <c r="AS106" s="301"/>
      <c r="AT106" s="301"/>
      <c r="AU106" s="301"/>
      <c r="AV106" s="301"/>
      <c r="AW106" s="301"/>
      <c r="AX106" s="301"/>
      <c r="AY106" s="301"/>
      <c r="AZ106" s="302"/>
    </row>
    <row r="107" spans="3:67" s="2" customFormat="1" ht="13.5" customHeight="1">
      <c r="C107" s="309"/>
      <c r="D107" s="310"/>
      <c r="E107" s="310"/>
      <c r="F107" s="310"/>
      <c r="G107" s="335"/>
      <c r="H107" s="322"/>
      <c r="I107" s="311" t="s">
        <v>413</v>
      </c>
      <c r="J107" s="312" t="s">
        <v>456</v>
      </c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2"/>
      <c r="AE107" s="312"/>
      <c r="AF107" s="312"/>
      <c r="AG107" s="312"/>
      <c r="AH107" s="312"/>
      <c r="AI107" s="312"/>
      <c r="AJ107" s="312"/>
      <c r="AK107" s="312"/>
      <c r="AL107" s="312"/>
      <c r="AM107" s="312"/>
      <c r="AN107" s="312"/>
      <c r="AO107" s="312"/>
      <c r="AP107" s="312"/>
      <c r="AQ107" s="311" t="s">
        <v>472</v>
      </c>
      <c r="AR107" s="312"/>
      <c r="AS107" s="312"/>
      <c r="AT107" s="312"/>
      <c r="AU107" s="312"/>
      <c r="AV107" s="312"/>
      <c r="AW107" s="312"/>
      <c r="AX107" s="312"/>
      <c r="AY107" s="312"/>
      <c r="AZ107" s="313"/>
    </row>
    <row r="108" spans="3:67" s="2" customFormat="1" ht="13.5" customHeight="1">
      <c r="C108" s="309"/>
      <c r="D108" s="310"/>
      <c r="E108" s="310"/>
      <c r="F108" s="310"/>
      <c r="G108" s="335"/>
      <c r="H108" s="322"/>
      <c r="I108" s="311" t="s">
        <v>413</v>
      </c>
      <c r="J108" s="312" t="s">
        <v>457</v>
      </c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  <c r="Z108" s="312"/>
      <c r="AA108" s="312"/>
      <c r="AB108" s="312"/>
      <c r="AC108" s="312"/>
      <c r="AD108" s="312"/>
      <c r="AE108" s="312"/>
      <c r="AF108" s="312"/>
      <c r="AG108" s="312"/>
      <c r="AH108" s="312"/>
      <c r="AI108" s="312"/>
      <c r="AJ108" s="312"/>
      <c r="AK108" s="312"/>
      <c r="AL108" s="312"/>
      <c r="AM108" s="312"/>
      <c r="AN108" s="312"/>
      <c r="AO108" s="312"/>
      <c r="AP108" s="312"/>
      <c r="AQ108" s="311" t="s">
        <v>472</v>
      </c>
      <c r="AR108" s="312"/>
      <c r="AS108" s="312"/>
      <c r="AT108" s="312"/>
      <c r="AU108" s="312"/>
      <c r="AV108" s="312"/>
      <c r="AW108" s="312"/>
      <c r="AX108" s="312"/>
      <c r="AY108" s="312"/>
      <c r="AZ108" s="313"/>
    </row>
    <row r="109" spans="3:67" s="2" customFormat="1" ht="13.5" customHeight="1">
      <c r="C109" s="303"/>
      <c r="D109" s="304"/>
      <c r="E109" s="304"/>
      <c r="F109" s="304"/>
      <c r="G109" s="336"/>
      <c r="H109" s="305"/>
      <c r="I109" s="306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307"/>
      <c r="AB109" s="307"/>
      <c r="AC109" s="307"/>
      <c r="AD109" s="307"/>
      <c r="AE109" s="307"/>
      <c r="AF109" s="307"/>
      <c r="AG109" s="307"/>
      <c r="AH109" s="307"/>
      <c r="AI109" s="307"/>
      <c r="AJ109" s="307"/>
      <c r="AK109" s="307"/>
      <c r="AL109" s="307"/>
      <c r="AM109" s="307"/>
      <c r="AN109" s="307"/>
      <c r="AO109" s="307"/>
      <c r="AP109" s="307"/>
      <c r="AQ109" s="306"/>
      <c r="AR109" s="307"/>
      <c r="AS109" s="307"/>
      <c r="AT109" s="307"/>
      <c r="AU109" s="307"/>
      <c r="AV109" s="307"/>
      <c r="AW109" s="307"/>
      <c r="AX109" s="307"/>
      <c r="AY109" s="307"/>
      <c r="AZ109" s="308"/>
    </row>
    <row r="112" spans="3:67" ht="12.75" customHeight="1">
      <c r="C112" s="106" t="s">
        <v>473</v>
      </c>
      <c r="D112" s="106"/>
      <c r="E112" s="106"/>
      <c r="F112" s="106"/>
      <c r="BO112" s="159" t="s">
        <v>404</v>
      </c>
    </row>
    <row r="113" spans="3:38" ht="12.75" customHeight="1">
      <c r="C113" s="106"/>
      <c r="D113" s="106" t="s">
        <v>477</v>
      </c>
      <c r="E113" s="106"/>
    </row>
    <row r="114" spans="3:38" ht="12.75" customHeight="1">
      <c r="C114" s="106"/>
      <c r="D114" s="106"/>
      <c r="E114" s="106" t="s">
        <v>474</v>
      </c>
    </row>
    <row r="115" spans="3:38" ht="12.75" customHeight="1">
      <c r="C115" s="106"/>
      <c r="D115" s="106" t="s">
        <v>479</v>
      </c>
      <c r="E115" s="106"/>
      <c r="F115" s="106"/>
    </row>
    <row r="116" spans="3:38" ht="12.75" customHeight="1">
      <c r="C116" s="106"/>
      <c r="D116" s="106"/>
      <c r="E116" s="106" t="s">
        <v>474</v>
      </c>
      <c r="F116" s="106"/>
    </row>
    <row r="117" spans="3:38" ht="12.75" customHeight="1">
      <c r="C117" s="106"/>
      <c r="D117" s="106" t="s">
        <v>481</v>
      </c>
      <c r="E117" s="106"/>
      <c r="F117" s="106"/>
    </row>
    <row r="118" spans="3:38" ht="12.75" customHeight="1">
      <c r="C118" s="106"/>
      <c r="D118" s="106"/>
      <c r="E118" s="106" t="s">
        <v>474</v>
      </c>
      <c r="F118" s="106"/>
    </row>
    <row r="119" spans="3:38" ht="12.75" customHeight="1">
      <c r="C119" s="106"/>
      <c r="D119" s="106" t="s">
        <v>483</v>
      </c>
      <c r="E119" s="106"/>
      <c r="F119" s="106"/>
    </row>
    <row r="120" spans="3:38" ht="12.75" customHeight="1">
      <c r="C120" s="106"/>
      <c r="D120" s="106"/>
      <c r="E120" s="106" t="s">
        <v>474</v>
      </c>
      <c r="F120" s="106"/>
    </row>
    <row r="121" spans="3:38" ht="12.75" customHeight="1">
      <c r="D121" s="106" t="s">
        <v>485</v>
      </c>
      <c r="E121" s="106"/>
    </row>
    <row r="122" spans="3:38" ht="12.75" customHeight="1">
      <c r="D122" s="106"/>
      <c r="E122" s="106" t="s">
        <v>474</v>
      </c>
    </row>
    <row r="123" spans="3:38" ht="12.75" customHeight="1">
      <c r="D123" s="106" t="s">
        <v>487</v>
      </c>
      <c r="E123" s="106"/>
    </row>
    <row r="124" spans="3:38" ht="12.75" customHeight="1">
      <c r="D124" s="106"/>
      <c r="E124" s="106" t="s">
        <v>474</v>
      </c>
    </row>
    <row r="125" spans="3:38" ht="12.75" customHeight="1">
      <c r="D125" s="106" t="s">
        <v>496</v>
      </c>
    </row>
    <row r="126" spans="3:38" ht="12.75" customHeight="1">
      <c r="E126" s="106" t="s">
        <v>474</v>
      </c>
      <c r="AJ126" s="337" t="s">
        <v>497</v>
      </c>
      <c r="AK126" s="337" t="s">
        <v>497</v>
      </c>
      <c r="AL126" s="337" t="s">
        <v>497</v>
      </c>
    </row>
    <row r="127" spans="3:38" ht="12.75" customHeight="1">
      <c r="D127" s="106" t="s">
        <v>498</v>
      </c>
      <c r="AJ127" s="337" t="s">
        <v>497</v>
      </c>
      <c r="AK127" s="337" t="s">
        <v>497</v>
      </c>
      <c r="AL127" s="337" t="s">
        <v>497</v>
      </c>
    </row>
    <row r="128" spans="3:38" ht="12.75" customHeight="1">
      <c r="E128" s="106" t="s">
        <v>474</v>
      </c>
    </row>
    <row r="129" spans="4:5" ht="12.75" customHeight="1">
      <c r="D129" s="106" t="s">
        <v>499</v>
      </c>
    </row>
    <row r="130" spans="4:5" ht="12.75" customHeight="1">
      <c r="E130" s="106" t="s">
        <v>474</v>
      </c>
    </row>
    <row r="131" spans="4:5" ht="12.75" customHeight="1">
      <c r="D131" s="106" t="s">
        <v>498</v>
      </c>
    </row>
    <row r="132" spans="4:5" ht="12.75" customHeight="1">
      <c r="E132" s="106" t="s">
        <v>500</v>
      </c>
    </row>
    <row r="133" spans="4:5" ht="12.75" customHeight="1">
      <c r="D133" s="106" t="s">
        <v>502</v>
      </c>
    </row>
    <row r="134" spans="4:5" ht="12.75" customHeight="1">
      <c r="E134" s="106" t="s">
        <v>501</v>
      </c>
    </row>
    <row r="135" spans="4:5" ht="12.75" customHeight="1">
      <c r="D135" s="106" t="s">
        <v>503</v>
      </c>
    </row>
    <row r="136" spans="4:5" ht="12.75" customHeight="1">
      <c r="E136" s="106" t="s">
        <v>501</v>
      </c>
    </row>
    <row r="137" spans="4:5" ht="12.75" customHeight="1">
      <c r="D137" s="106" t="s">
        <v>504</v>
      </c>
    </row>
    <row r="138" spans="4:5" ht="12.75" customHeight="1">
      <c r="E138" s="106" t="s">
        <v>474</v>
      </c>
    </row>
    <row r="139" spans="4:5" ht="12.75" customHeight="1">
      <c r="D139" s="106" t="s">
        <v>505</v>
      </c>
    </row>
    <row r="140" spans="4:5" ht="12.75" customHeight="1">
      <c r="E140" s="106" t="s">
        <v>507</v>
      </c>
    </row>
    <row r="141" spans="4:5" ht="12.75" customHeight="1">
      <c r="D141" s="106" t="s">
        <v>506</v>
      </c>
    </row>
    <row r="142" spans="4:5" ht="12.75" customHeight="1">
      <c r="E142" s="106" t="s">
        <v>508</v>
      </c>
    </row>
  </sheetData>
  <mergeCells count="53">
    <mergeCell ref="S6:AE7"/>
    <mergeCell ref="AF6:BC7"/>
    <mergeCell ref="BL1:BN2"/>
    <mergeCell ref="BE2:BG2"/>
    <mergeCell ref="BH2:BK2"/>
    <mergeCell ref="BE1:BG1"/>
    <mergeCell ref="AW1:AY1"/>
    <mergeCell ref="AW2:AY2"/>
    <mergeCell ref="BH1:BK1"/>
    <mergeCell ref="A1:F2"/>
    <mergeCell ref="C6:E7"/>
    <mergeCell ref="F6:R7"/>
    <mergeCell ref="C9:E9"/>
    <mergeCell ref="C10:E10"/>
    <mergeCell ref="C47:E47"/>
    <mergeCell ref="C8:E8"/>
    <mergeCell ref="C11:E11"/>
    <mergeCell ref="C19:E19"/>
    <mergeCell ref="C20:E20"/>
    <mergeCell ref="C21:E21"/>
    <mergeCell ref="C12:E12"/>
    <mergeCell ref="C13:E13"/>
    <mergeCell ref="C14:E14"/>
    <mergeCell ref="C15:E15"/>
    <mergeCell ref="C16:E16"/>
    <mergeCell ref="C17:E17"/>
    <mergeCell ref="C18:E18"/>
    <mergeCell ref="C38:E38"/>
    <mergeCell ref="C39:E39"/>
    <mergeCell ref="C44:E44"/>
    <mergeCell ref="C45:E45"/>
    <mergeCell ref="C46:E46"/>
    <mergeCell ref="C33:E33"/>
    <mergeCell ref="C34:E34"/>
    <mergeCell ref="C35:E35"/>
    <mergeCell ref="C36:E36"/>
    <mergeCell ref="C37:E37"/>
    <mergeCell ref="AF15:BC17"/>
    <mergeCell ref="C42:E42"/>
    <mergeCell ref="C43:E43"/>
    <mergeCell ref="C25:E25"/>
    <mergeCell ref="C26:E26"/>
    <mergeCell ref="C27:E27"/>
    <mergeCell ref="C28:E28"/>
    <mergeCell ref="C29:E29"/>
    <mergeCell ref="C22:E22"/>
    <mergeCell ref="C23:E23"/>
    <mergeCell ref="C24:E24"/>
    <mergeCell ref="C40:E40"/>
    <mergeCell ref="C41:E41"/>
    <mergeCell ref="C30:E30"/>
    <mergeCell ref="C31:E31"/>
    <mergeCell ref="C32:E32"/>
  </mergeCells>
  <phoneticPr fontId="4"/>
  <dataValidations count="1">
    <dataValidation type="list" allowBlank="1" showInputMessage="1" showErrorMessage="1" sqref="C8:E47" xr:uid="{ACE1F92D-573A-4E10-97C8-B25A14CF952B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3" manualBreakCount="3">
    <brk id="49" max="65" man="1"/>
    <brk id="91" max="65" man="1"/>
    <brk id="140" max="6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0CDC-4D5A-496E-9445-43C42D45716E}">
  <sheetPr>
    <tabColor theme="0" tint="-0.499984740745262"/>
  </sheetPr>
  <dimension ref="B1:R57"/>
  <sheetViews>
    <sheetView zoomScale="55" zoomScaleNormal="55" workbookViewId="0">
      <pane xSplit="1" ySplit="12" topLeftCell="B23" activePane="bottomRight" state="frozen"/>
      <selection pane="topRight" activeCell="B1" sqref="B1"/>
      <selection pane="bottomLeft" activeCell="A12" sqref="A12"/>
      <selection pane="bottomRight" activeCell="G36" sqref="G36"/>
    </sheetView>
  </sheetViews>
  <sheetFormatPr defaultColWidth="9.36328125" defaultRowHeight="13.5"/>
  <cols>
    <col min="1" max="2" width="9.36328125" style="188"/>
    <col min="3" max="3" width="4.90625" style="188" bestFit="1" customWidth="1"/>
    <col min="4" max="4" width="19.36328125" style="188" customWidth="1"/>
    <col min="5" max="6" width="8.453125" style="188" bestFit="1" customWidth="1"/>
    <col min="7" max="7" width="41.26953125" style="188" bestFit="1" customWidth="1"/>
    <col min="8" max="8" width="33.08984375" style="188" customWidth="1"/>
    <col min="9" max="9" width="28.453125" style="188" bestFit="1" customWidth="1"/>
    <col min="10" max="10" width="5.453125" style="188" customWidth="1"/>
    <col min="11" max="11" width="6.90625" style="188" customWidth="1"/>
    <col min="12" max="12" width="3.6328125" style="188" bestFit="1" customWidth="1"/>
    <col min="13" max="13" width="14.26953125" style="188" bestFit="1" customWidth="1"/>
    <col min="14" max="15" width="7.08984375" style="189" customWidth="1"/>
    <col min="16" max="16" width="52.453125" style="188" bestFit="1" customWidth="1"/>
    <col min="17" max="16384" width="9.36328125" style="188"/>
  </cols>
  <sheetData>
    <row r="1" spans="2:16">
      <c r="H1" s="216" t="s">
        <v>111</v>
      </c>
      <c r="I1" s="216"/>
    </row>
    <row r="2" spans="2:16">
      <c r="B2" s="215" t="s">
        <v>112</v>
      </c>
      <c r="K2" s="215" t="s">
        <v>113</v>
      </c>
    </row>
    <row r="4" spans="2:16">
      <c r="C4" s="214"/>
      <c r="K4" s="188" t="s">
        <v>247</v>
      </c>
    </row>
    <row r="5" spans="2:16">
      <c r="C5" s="214"/>
    </row>
    <row r="6" spans="2:16">
      <c r="C6" s="214"/>
    </row>
    <row r="7" spans="2:16">
      <c r="C7" s="214"/>
    </row>
    <row r="8" spans="2:16">
      <c r="B8" s="214"/>
      <c r="C8" s="214"/>
    </row>
    <row r="9" spans="2:16">
      <c r="B9" s="214"/>
      <c r="C9" s="214"/>
    </row>
    <row r="10" spans="2:16">
      <c r="B10" s="214"/>
      <c r="C10" s="214"/>
    </row>
    <row r="11" spans="2:16">
      <c r="H11" s="213" t="s">
        <v>114</v>
      </c>
      <c r="I11" s="213" t="s">
        <v>115</v>
      </c>
    </row>
    <row r="12" spans="2:16" ht="27">
      <c r="B12" s="212" t="s">
        <v>246</v>
      </c>
      <c r="C12" s="211" t="s">
        <v>245</v>
      </c>
      <c r="D12" s="212" t="s">
        <v>244</v>
      </c>
      <c r="E12" s="211" t="s">
        <v>243</v>
      </c>
      <c r="F12" s="211" t="s">
        <v>242</v>
      </c>
      <c r="G12" s="211" t="s">
        <v>241</v>
      </c>
      <c r="H12" s="210" t="s">
        <v>116</v>
      </c>
      <c r="I12" s="210" t="s">
        <v>117</v>
      </c>
      <c r="K12" s="209" t="s">
        <v>240</v>
      </c>
      <c r="L12" s="208" t="s">
        <v>118</v>
      </c>
      <c r="M12" s="208" t="s">
        <v>119</v>
      </c>
      <c r="N12" s="208" t="s">
        <v>120</v>
      </c>
      <c r="O12" s="208" t="s">
        <v>121</v>
      </c>
      <c r="P12" s="208" t="s">
        <v>122</v>
      </c>
    </row>
    <row r="13" spans="2:16">
      <c r="B13" s="200">
        <v>1</v>
      </c>
      <c r="C13" s="199" t="s">
        <v>146</v>
      </c>
      <c r="D13" s="198" t="s">
        <v>476</v>
      </c>
      <c r="E13" s="197" t="s">
        <v>136</v>
      </c>
      <c r="F13" s="197">
        <v>12</v>
      </c>
      <c r="G13" s="197" t="s">
        <v>239</v>
      </c>
      <c r="H13" s="196" t="s">
        <v>238</v>
      </c>
      <c r="I13" s="195"/>
      <c r="K13" s="193"/>
      <c r="L13" s="193"/>
      <c r="M13" s="193"/>
      <c r="N13" s="194"/>
      <c r="O13" s="194"/>
      <c r="P13" s="193"/>
    </row>
    <row r="14" spans="2:16">
      <c r="B14" s="200">
        <v>2</v>
      </c>
      <c r="C14" s="199" t="s">
        <v>185</v>
      </c>
      <c r="D14" s="198" t="s">
        <v>237</v>
      </c>
      <c r="E14" s="197" t="s">
        <v>136</v>
      </c>
      <c r="F14" s="197">
        <v>8</v>
      </c>
      <c r="G14" s="197" t="s">
        <v>236</v>
      </c>
      <c r="H14" s="196" t="s">
        <v>235</v>
      </c>
      <c r="I14" s="195"/>
      <c r="K14" s="193">
        <v>1</v>
      </c>
      <c r="L14" s="193">
        <v>5</v>
      </c>
      <c r="M14" s="193" t="s">
        <v>234</v>
      </c>
      <c r="N14" s="194">
        <v>9</v>
      </c>
      <c r="O14" s="194">
        <v>8</v>
      </c>
      <c r="P14" s="193" t="s">
        <v>233</v>
      </c>
    </row>
    <row r="15" spans="2:16">
      <c r="B15" s="200">
        <v>3</v>
      </c>
      <c r="C15" s="199"/>
      <c r="D15" s="198" t="s">
        <v>232</v>
      </c>
      <c r="E15" s="197" t="s">
        <v>136</v>
      </c>
      <c r="F15" s="197">
        <v>14</v>
      </c>
      <c r="G15" s="197" t="s">
        <v>231</v>
      </c>
      <c r="H15" s="196" t="s">
        <v>123</v>
      </c>
      <c r="I15" s="195"/>
      <c r="K15" s="193">
        <v>0</v>
      </c>
      <c r="L15" s="193">
        <v>4</v>
      </c>
      <c r="M15" s="193" t="s">
        <v>230</v>
      </c>
      <c r="N15" s="194" t="s">
        <v>124</v>
      </c>
      <c r="O15" s="201">
        <v>15</v>
      </c>
      <c r="P15" s="193" t="s">
        <v>229</v>
      </c>
    </row>
    <row r="16" spans="2:16" ht="27">
      <c r="B16" s="200">
        <v>4</v>
      </c>
      <c r="C16" s="199" t="s">
        <v>146</v>
      </c>
      <c r="D16" s="198" t="s">
        <v>228</v>
      </c>
      <c r="E16" s="197" t="s">
        <v>136</v>
      </c>
      <c r="F16" s="197">
        <v>30</v>
      </c>
      <c r="G16" s="197"/>
      <c r="H16" s="204" t="s">
        <v>227</v>
      </c>
      <c r="I16" s="203"/>
      <c r="K16" s="193">
        <v>0</v>
      </c>
      <c r="L16" s="193">
        <v>11</v>
      </c>
      <c r="M16" s="193" t="s">
        <v>226</v>
      </c>
      <c r="N16" s="194" t="s">
        <v>125</v>
      </c>
      <c r="O16" s="201">
        <v>16</v>
      </c>
      <c r="P16" s="193"/>
    </row>
    <row r="17" spans="2:16" ht="27">
      <c r="B17" s="200">
        <v>5</v>
      </c>
      <c r="C17" s="200"/>
      <c r="D17" s="198" t="s">
        <v>225</v>
      </c>
      <c r="E17" s="197" t="s">
        <v>136</v>
      </c>
      <c r="F17" s="197">
        <v>30</v>
      </c>
      <c r="G17" s="197"/>
      <c r="H17" s="204" t="s">
        <v>224</v>
      </c>
      <c r="I17" s="203"/>
      <c r="K17" s="193">
        <v>0</v>
      </c>
      <c r="L17" s="193">
        <v>12</v>
      </c>
      <c r="M17" s="193" t="s">
        <v>223</v>
      </c>
      <c r="N17" s="194" t="s">
        <v>125</v>
      </c>
      <c r="O17" s="201">
        <v>16</v>
      </c>
      <c r="P17" s="193"/>
    </row>
    <row r="18" spans="2:16">
      <c r="B18" s="221">
        <v>6</v>
      </c>
      <c r="C18" s="221"/>
      <c r="D18" s="222" t="s">
        <v>478</v>
      </c>
      <c r="E18" s="223" t="s">
        <v>136</v>
      </c>
      <c r="F18" s="223">
        <v>8</v>
      </c>
      <c r="G18" s="223"/>
      <c r="H18" s="224" t="s">
        <v>139</v>
      </c>
      <c r="I18" s="195"/>
      <c r="K18" s="193"/>
      <c r="L18" s="193"/>
      <c r="M18" s="193"/>
      <c r="N18" s="194"/>
      <c r="O18" s="194"/>
      <c r="P18" s="193"/>
    </row>
    <row r="19" spans="2:16" ht="27">
      <c r="B19" s="200">
        <v>7</v>
      </c>
      <c r="C19" s="200"/>
      <c r="D19" s="198" t="s">
        <v>222</v>
      </c>
      <c r="E19" s="197" t="s">
        <v>136</v>
      </c>
      <c r="F19" s="197">
        <v>30</v>
      </c>
      <c r="G19" s="197"/>
      <c r="H19" s="204" t="s">
        <v>221</v>
      </c>
      <c r="I19" s="203"/>
      <c r="K19" s="193">
        <v>0</v>
      </c>
      <c r="L19" s="193">
        <v>8</v>
      </c>
      <c r="M19" s="193" t="s">
        <v>220</v>
      </c>
      <c r="N19" s="194" t="s">
        <v>125</v>
      </c>
      <c r="O19" s="201">
        <v>16</v>
      </c>
      <c r="P19" s="193"/>
    </row>
    <row r="20" spans="2:16" ht="27">
      <c r="B20" s="200">
        <v>8</v>
      </c>
      <c r="C20" s="200"/>
      <c r="D20" s="198" t="s">
        <v>219</v>
      </c>
      <c r="E20" s="197" t="s">
        <v>136</v>
      </c>
      <c r="F20" s="197">
        <v>30</v>
      </c>
      <c r="G20" s="197"/>
      <c r="H20" s="204" t="s">
        <v>218</v>
      </c>
      <c r="I20" s="203"/>
      <c r="K20" s="193">
        <v>0</v>
      </c>
      <c r="L20" s="193">
        <v>9</v>
      </c>
      <c r="M20" s="193" t="s">
        <v>217</v>
      </c>
      <c r="N20" s="194" t="s">
        <v>125</v>
      </c>
      <c r="O20" s="201">
        <v>16</v>
      </c>
      <c r="P20" s="193"/>
    </row>
    <row r="21" spans="2:16" ht="27">
      <c r="B21" s="200">
        <v>9</v>
      </c>
      <c r="C21" s="200"/>
      <c r="D21" s="198" t="s">
        <v>216</v>
      </c>
      <c r="E21" s="197" t="s">
        <v>136</v>
      </c>
      <c r="F21" s="197">
        <v>30</v>
      </c>
      <c r="G21" s="197"/>
      <c r="H21" s="204" t="s">
        <v>215</v>
      </c>
      <c r="I21" s="203"/>
      <c r="K21" s="193">
        <v>0</v>
      </c>
      <c r="L21" s="193">
        <v>10</v>
      </c>
      <c r="M21" s="193" t="s">
        <v>214</v>
      </c>
      <c r="N21" s="194" t="s">
        <v>125</v>
      </c>
      <c r="O21" s="201">
        <v>16</v>
      </c>
      <c r="P21" s="193"/>
    </row>
    <row r="22" spans="2:16">
      <c r="B22" s="200">
        <v>10</v>
      </c>
      <c r="C22" s="200"/>
      <c r="D22" s="198" t="s">
        <v>213</v>
      </c>
      <c r="E22" s="197" t="s">
        <v>136</v>
      </c>
      <c r="F22" s="197">
        <v>13</v>
      </c>
      <c r="G22" s="197" t="s">
        <v>212</v>
      </c>
      <c r="H22" s="196" t="s">
        <v>123</v>
      </c>
      <c r="I22" s="195"/>
      <c r="K22" s="193">
        <v>0</v>
      </c>
      <c r="L22" s="193">
        <v>14</v>
      </c>
      <c r="M22" s="193" t="s">
        <v>211</v>
      </c>
      <c r="N22" s="194" t="s">
        <v>124</v>
      </c>
      <c r="O22" s="194">
        <v>12</v>
      </c>
      <c r="P22" s="193" t="s">
        <v>210</v>
      </c>
    </row>
    <row r="23" spans="2:16">
      <c r="B23" s="200">
        <v>11</v>
      </c>
      <c r="C23" s="200"/>
      <c r="D23" s="198" t="s">
        <v>480</v>
      </c>
      <c r="E23" s="197" t="s">
        <v>136</v>
      </c>
      <c r="F23" s="197">
        <v>7</v>
      </c>
      <c r="G23" s="197" t="s">
        <v>209</v>
      </c>
      <c r="H23" s="196" t="s">
        <v>139</v>
      </c>
      <c r="I23" s="195"/>
      <c r="K23" s="193"/>
      <c r="L23" s="193"/>
      <c r="M23" s="193"/>
      <c r="N23" s="194"/>
      <c r="O23" s="194"/>
      <c r="P23" s="193"/>
    </row>
    <row r="24" spans="2:16">
      <c r="B24" s="200">
        <v>12</v>
      </c>
      <c r="C24" s="200"/>
      <c r="D24" s="198" t="s">
        <v>482</v>
      </c>
      <c r="E24" s="197" t="s">
        <v>136</v>
      </c>
      <c r="F24" s="197">
        <v>15</v>
      </c>
      <c r="G24" s="197" t="s">
        <v>207</v>
      </c>
      <c r="H24" s="196" t="s">
        <v>139</v>
      </c>
      <c r="I24" s="195"/>
      <c r="K24" s="193"/>
      <c r="L24" s="193"/>
      <c r="M24" s="193"/>
      <c r="N24" s="194"/>
      <c r="O24" s="194"/>
      <c r="P24" s="193"/>
    </row>
    <row r="25" spans="2:16">
      <c r="B25" s="200">
        <v>13</v>
      </c>
      <c r="C25" s="200"/>
      <c r="D25" s="198" t="s">
        <v>484</v>
      </c>
      <c r="E25" s="197" t="s">
        <v>136</v>
      </c>
      <c r="F25" s="197">
        <v>5</v>
      </c>
      <c r="G25" s="197" t="s">
        <v>208</v>
      </c>
      <c r="H25" s="196" t="s">
        <v>139</v>
      </c>
      <c r="I25" s="195"/>
      <c r="K25" s="193"/>
      <c r="L25" s="193"/>
      <c r="M25" s="193"/>
      <c r="N25" s="194"/>
      <c r="O25" s="194"/>
      <c r="P25" s="193"/>
    </row>
    <row r="26" spans="2:16">
      <c r="B26" s="200">
        <v>14</v>
      </c>
      <c r="C26" s="199"/>
      <c r="D26" s="198" t="s">
        <v>486</v>
      </c>
      <c r="E26" s="197" t="s">
        <v>136</v>
      </c>
      <c r="F26" s="197">
        <v>14</v>
      </c>
      <c r="G26" s="197" t="s">
        <v>207</v>
      </c>
      <c r="H26" s="196" t="s">
        <v>139</v>
      </c>
      <c r="I26" s="195"/>
      <c r="K26" s="193"/>
      <c r="L26" s="193"/>
      <c r="M26" s="193"/>
      <c r="N26" s="194"/>
      <c r="O26" s="194"/>
      <c r="P26" s="193"/>
    </row>
    <row r="27" spans="2:16" ht="27">
      <c r="B27" s="200">
        <v>15</v>
      </c>
      <c r="C27" s="199" t="s">
        <v>185</v>
      </c>
      <c r="D27" s="198" t="s">
        <v>206</v>
      </c>
      <c r="E27" s="197" t="s">
        <v>136</v>
      </c>
      <c r="F27" s="197">
        <v>30</v>
      </c>
      <c r="G27" s="197"/>
      <c r="H27" s="204" t="s">
        <v>205</v>
      </c>
      <c r="I27" s="203"/>
      <c r="K27" s="193">
        <v>1</v>
      </c>
      <c r="L27" s="193">
        <v>20</v>
      </c>
      <c r="M27" s="193" t="s">
        <v>204</v>
      </c>
      <c r="N27" s="194" t="s">
        <v>125</v>
      </c>
      <c r="O27" s="201">
        <v>16</v>
      </c>
      <c r="P27" s="193"/>
    </row>
    <row r="28" spans="2:16" ht="27">
      <c r="B28" s="200">
        <v>16</v>
      </c>
      <c r="C28" s="200"/>
      <c r="D28" s="198" t="s">
        <v>203</v>
      </c>
      <c r="E28" s="197" t="s">
        <v>136</v>
      </c>
      <c r="F28" s="197">
        <v>30</v>
      </c>
      <c r="G28" s="197"/>
      <c r="H28" s="204" t="s">
        <v>202</v>
      </c>
      <c r="I28" s="203"/>
      <c r="K28" s="193">
        <v>1</v>
      </c>
      <c r="L28" s="193">
        <v>21</v>
      </c>
      <c r="M28" s="193" t="s">
        <v>201</v>
      </c>
      <c r="N28" s="194" t="s">
        <v>125</v>
      </c>
      <c r="O28" s="201">
        <v>16</v>
      </c>
      <c r="P28" s="193"/>
    </row>
    <row r="29" spans="2:16">
      <c r="B29" s="200">
        <v>17</v>
      </c>
      <c r="C29" s="200"/>
      <c r="D29" s="198" t="s">
        <v>488</v>
      </c>
      <c r="E29" s="197" t="s">
        <v>136</v>
      </c>
      <c r="F29" s="197">
        <v>8</v>
      </c>
      <c r="G29" s="197"/>
      <c r="H29" s="196" t="s">
        <v>139</v>
      </c>
      <c r="I29" s="195"/>
      <c r="K29" s="193"/>
      <c r="L29" s="193"/>
      <c r="M29" s="193"/>
      <c r="N29" s="194"/>
      <c r="O29" s="194"/>
      <c r="P29" s="193"/>
    </row>
    <row r="30" spans="2:16" ht="27">
      <c r="B30" s="200">
        <v>18</v>
      </c>
      <c r="C30" s="199" t="s">
        <v>185</v>
      </c>
      <c r="D30" s="198" t="s">
        <v>200</v>
      </c>
      <c r="E30" s="197" t="s">
        <v>136</v>
      </c>
      <c r="F30" s="197">
        <v>30</v>
      </c>
      <c r="G30" s="197"/>
      <c r="H30" s="204" t="s">
        <v>195</v>
      </c>
      <c r="I30" s="203"/>
      <c r="K30" s="193">
        <v>1</v>
      </c>
      <c r="L30" s="193">
        <v>17</v>
      </c>
      <c r="M30" s="193" t="s">
        <v>199</v>
      </c>
      <c r="N30" s="194" t="s">
        <v>125</v>
      </c>
      <c r="O30" s="201">
        <v>16</v>
      </c>
      <c r="P30" s="193"/>
    </row>
    <row r="31" spans="2:16" ht="27">
      <c r="B31" s="200">
        <v>19</v>
      </c>
      <c r="C31" s="200"/>
      <c r="D31" s="198" t="s">
        <v>198</v>
      </c>
      <c r="E31" s="197" t="s">
        <v>136</v>
      </c>
      <c r="F31" s="197">
        <v>30</v>
      </c>
      <c r="G31" s="197"/>
      <c r="H31" s="204" t="s">
        <v>195</v>
      </c>
      <c r="I31" s="203"/>
      <c r="K31" s="193">
        <v>1</v>
      </c>
      <c r="L31" s="193">
        <v>18</v>
      </c>
      <c r="M31" s="193" t="s">
        <v>197</v>
      </c>
      <c r="N31" s="194" t="s">
        <v>125</v>
      </c>
      <c r="O31" s="201">
        <v>16</v>
      </c>
      <c r="P31" s="193"/>
    </row>
    <row r="32" spans="2:16" ht="27">
      <c r="B32" s="200">
        <v>20</v>
      </c>
      <c r="C32" s="200"/>
      <c r="D32" s="198" t="s">
        <v>196</v>
      </c>
      <c r="E32" s="197" t="s">
        <v>136</v>
      </c>
      <c r="F32" s="197">
        <v>30</v>
      </c>
      <c r="G32" s="197"/>
      <c r="H32" s="204" t="s">
        <v>195</v>
      </c>
      <c r="I32" s="203"/>
      <c r="K32" s="193">
        <v>1</v>
      </c>
      <c r="L32" s="193">
        <v>19</v>
      </c>
      <c r="M32" s="193" t="s">
        <v>194</v>
      </c>
      <c r="N32" s="194" t="s">
        <v>125</v>
      </c>
      <c r="O32" s="201">
        <v>16</v>
      </c>
      <c r="P32" s="193"/>
    </row>
    <row r="33" spans="2:18">
      <c r="B33" s="200">
        <v>21</v>
      </c>
      <c r="C33" s="199" t="s">
        <v>146</v>
      </c>
      <c r="D33" s="198" t="s">
        <v>193</v>
      </c>
      <c r="E33" s="197" t="s">
        <v>136</v>
      </c>
      <c r="F33" s="197">
        <v>13</v>
      </c>
      <c r="G33" s="197" t="s">
        <v>192</v>
      </c>
      <c r="H33" s="196" t="s">
        <v>123</v>
      </c>
      <c r="I33" s="195"/>
      <c r="K33" s="193">
        <v>1</v>
      </c>
      <c r="L33" s="193">
        <v>22</v>
      </c>
      <c r="M33" s="193" t="s">
        <v>191</v>
      </c>
      <c r="N33" s="194" t="s">
        <v>124</v>
      </c>
      <c r="O33" s="194">
        <v>12</v>
      </c>
      <c r="P33" s="193"/>
    </row>
    <row r="34" spans="2:18">
      <c r="B34" s="200">
        <v>22</v>
      </c>
      <c r="C34" s="199" t="s">
        <v>146</v>
      </c>
      <c r="D34" s="198" t="s">
        <v>489</v>
      </c>
      <c r="E34" s="197" t="s">
        <v>136</v>
      </c>
      <c r="F34" s="197">
        <v>7</v>
      </c>
      <c r="G34" s="197" t="s">
        <v>190</v>
      </c>
      <c r="H34" s="196" t="s">
        <v>139</v>
      </c>
      <c r="I34" s="195"/>
      <c r="K34" s="193"/>
      <c r="L34" s="193"/>
      <c r="M34" s="193"/>
      <c r="N34" s="194"/>
      <c r="O34" s="194"/>
      <c r="P34" s="193"/>
    </row>
    <row r="35" spans="2:18">
      <c r="B35" s="200">
        <v>23</v>
      </c>
      <c r="C35" s="200"/>
      <c r="D35" s="198" t="s">
        <v>490</v>
      </c>
      <c r="E35" s="197" t="s">
        <v>136</v>
      </c>
      <c r="F35" s="197">
        <v>15</v>
      </c>
      <c r="G35" s="197" t="s">
        <v>189</v>
      </c>
      <c r="H35" s="196" t="s">
        <v>126</v>
      </c>
      <c r="I35" s="195"/>
      <c r="K35" s="193">
        <v>2</v>
      </c>
      <c r="L35" s="193">
        <v>7</v>
      </c>
      <c r="M35" s="193" t="s">
        <v>188</v>
      </c>
      <c r="N35" s="194" t="s">
        <v>124</v>
      </c>
      <c r="O35" s="194">
        <v>10</v>
      </c>
      <c r="P35" s="193"/>
    </row>
    <row r="36" spans="2:18">
      <c r="B36" s="200">
        <v>24</v>
      </c>
      <c r="C36" s="199" t="s">
        <v>185</v>
      </c>
      <c r="D36" s="198" t="s">
        <v>187</v>
      </c>
      <c r="E36" s="197" t="s">
        <v>156</v>
      </c>
      <c r="F36" s="197">
        <v>3</v>
      </c>
      <c r="G36" s="207"/>
      <c r="H36" s="196" t="s">
        <v>123</v>
      </c>
      <c r="I36" s="195"/>
      <c r="K36" s="193">
        <v>1</v>
      </c>
      <c r="L36" s="193">
        <v>10</v>
      </c>
      <c r="M36" s="193" t="s">
        <v>186</v>
      </c>
      <c r="N36" s="194">
        <v>9</v>
      </c>
      <c r="O36" s="194">
        <v>3</v>
      </c>
      <c r="P36" s="193"/>
    </row>
    <row r="37" spans="2:18">
      <c r="B37" s="200">
        <v>25</v>
      </c>
      <c r="C37" s="441" t="s">
        <v>185</v>
      </c>
      <c r="D37" s="198" t="s">
        <v>184</v>
      </c>
      <c r="E37" s="197" t="s">
        <v>156</v>
      </c>
      <c r="F37" s="197">
        <v>6</v>
      </c>
      <c r="G37" s="443" t="s">
        <v>183</v>
      </c>
      <c r="H37" s="206" t="s">
        <v>123</v>
      </c>
      <c r="I37" s="195"/>
      <c r="K37" s="193">
        <v>1</v>
      </c>
      <c r="L37" s="193">
        <v>12</v>
      </c>
      <c r="M37" s="193" t="s">
        <v>182</v>
      </c>
      <c r="N37" s="194">
        <v>9</v>
      </c>
      <c r="O37" s="194">
        <v>5</v>
      </c>
      <c r="P37" s="193"/>
    </row>
    <row r="38" spans="2:18">
      <c r="B38" s="200">
        <v>26</v>
      </c>
      <c r="C38" s="442"/>
      <c r="D38" s="198" t="s">
        <v>181</v>
      </c>
      <c r="E38" s="197" t="s">
        <v>156</v>
      </c>
      <c r="F38" s="197">
        <v>6</v>
      </c>
      <c r="G38" s="444"/>
      <c r="H38" s="205" t="s">
        <v>180</v>
      </c>
      <c r="I38" s="195"/>
      <c r="K38" s="193"/>
      <c r="L38" s="193"/>
      <c r="M38" s="193"/>
      <c r="N38" s="194"/>
      <c r="O38" s="194"/>
      <c r="P38" s="193"/>
    </row>
    <row r="39" spans="2:18">
      <c r="B39" s="200">
        <v>27</v>
      </c>
      <c r="C39" s="199" t="s">
        <v>146</v>
      </c>
      <c r="D39" s="198" t="s">
        <v>179</v>
      </c>
      <c r="E39" s="197" t="s">
        <v>136</v>
      </c>
      <c r="F39" s="197">
        <v>76</v>
      </c>
      <c r="G39" s="197"/>
      <c r="H39" s="196" t="s">
        <v>123</v>
      </c>
      <c r="I39" s="195"/>
      <c r="K39" s="193">
        <v>2</v>
      </c>
      <c r="L39" s="193">
        <v>31</v>
      </c>
      <c r="M39" s="193" t="s">
        <v>178</v>
      </c>
      <c r="N39" s="194" t="s">
        <v>125</v>
      </c>
      <c r="O39" s="194">
        <v>20</v>
      </c>
      <c r="P39" s="193" t="s">
        <v>177</v>
      </c>
      <c r="R39" s="188" t="s">
        <v>176</v>
      </c>
    </row>
    <row r="40" spans="2:18">
      <c r="B40" s="200">
        <v>28</v>
      </c>
      <c r="C40" s="200"/>
      <c r="D40" s="198" t="s">
        <v>175</v>
      </c>
      <c r="E40" s="197" t="s">
        <v>136</v>
      </c>
      <c r="F40" s="197">
        <v>76</v>
      </c>
      <c r="G40" s="197"/>
      <c r="H40" s="196" t="s">
        <v>123</v>
      </c>
      <c r="I40" s="195"/>
      <c r="K40" s="193">
        <v>2</v>
      </c>
      <c r="L40" s="193">
        <v>33</v>
      </c>
      <c r="M40" s="193" t="s">
        <v>174</v>
      </c>
      <c r="N40" s="194" t="s">
        <v>125</v>
      </c>
      <c r="O40" s="194">
        <v>20</v>
      </c>
      <c r="P40" s="193" t="s">
        <v>162</v>
      </c>
      <c r="R40" s="188" t="s">
        <v>173</v>
      </c>
    </row>
    <row r="41" spans="2:18">
      <c r="B41" s="200">
        <v>29</v>
      </c>
      <c r="C41" s="200"/>
      <c r="D41" s="198" t="s">
        <v>172</v>
      </c>
      <c r="E41" s="197" t="s">
        <v>136</v>
      </c>
      <c r="F41" s="197">
        <v>76</v>
      </c>
      <c r="G41" s="197"/>
      <c r="H41" s="196" t="s">
        <v>123</v>
      </c>
      <c r="I41" s="195"/>
      <c r="K41" s="193">
        <v>3</v>
      </c>
      <c r="L41" s="193">
        <v>8</v>
      </c>
      <c r="M41" s="193" t="s">
        <v>171</v>
      </c>
      <c r="N41" s="194" t="s">
        <v>125</v>
      </c>
      <c r="O41" s="194">
        <v>20</v>
      </c>
      <c r="P41" s="193" t="s">
        <v>162</v>
      </c>
      <c r="R41" s="188" t="s">
        <v>170</v>
      </c>
    </row>
    <row r="42" spans="2:18">
      <c r="B42" s="200">
        <v>30</v>
      </c>
      <c r="C42" s="200"/>
      <c r="D42" s="198" t="s">
        <v>169</v>
      </c>
      <c r="E42" s="197" t="s">
        <v>136</v>
      </c>
      <c r="F42" s="197">
        <v>76</v>
      </c>
      <c r="G42" s="197"/>
      <c r="H42" s="196" t="s">
        <v>123</v>
      </c>
      <c r="I42" s="195"/>
      <c r="K42" s="193">
        <v>3</v>
      </c>
      <c r="L42" s="193">
        <v>10</v>
      </c>
      <c r="M42" s="193" t="s">
        <v>168</v>
      </c>
      <c r="N42" s="194" t="s">
        <v>125</v>
      </c>
      <c r="O42" s="194">
        <v>20</v>
      </c>
      <c r="P42" s="193" t="s">
        <v>162</v>
      </c>
      <c r="R42" s="188" t="s">
        <v>167</v>
      </c>
    </row>
    <row r="43" spans="2:18">
      <c r="B43" s="200">
        <v>31</v>
      </c>
      <c r="C43" s="200"/>
      <c r="D43" s="198" t="s">
        <v>491</v>
      </c>
      <c r="E43" s="197" t="s">
        <v>136</v>
      </c>
      <c r="F43" s="197">
        <v>76</v>
      </c>
      <c r="G43" s="197"/>
      <c r="H43" s="196" t="s">
        <v>166</v>
      </c>
      <c r="I43" s="195"/>
      <c r="K43" s="193">
        <v>3</v>
      </c>
      <c r="L43" s="193">
        <v>12</v>
      </c>
      <c r="M43" s="193" t="s">
        <v>165</v>
      </c>
      <c r="N43" s="194" t="s">
        <v>125</v>
      </c>
      <c r="O43" s="194">
        <v>20</v>
      </c>
      <c r="P43" s="193" t="s">
        <v>162</v>
      </c>
      <c r="R43" s="188" t="s">
        <v>161</v>
      </c>
    </row>
    <row r="44" spans="2:18">
      <c r="B44" s="200">
        <v>32</v>
      </c>
      <c r="C44" s="200"/>
      <c r="D44" s="198" t="s">
        <v>492</v>
      </c>
      <c r="E44" s="197" t="s">
        <v>136</v>
      </c>
      <c r="F44" s="197">
        <v>76</v>
      </c>
      <c r="G44" s="197"/>
      <c r="H44" s="196" t="s">
        <v>164</v>
      </c>
      <c r="I44" s="195"/>
      <c r="K44" s="193">
        <v>3</v>
      </c>
      <c r="L44" s="193">
        <v>14</v>
      </c>
      <c r="M44" s="193" t="s">
        <v>163</v>
      </c>
      <c r="N44" s="194" t="s">
        <v>125</v>
      </c>
      <c r="O44" s="194">
        <v>20</v>
      </c>
      <c r="P44" s="193" t="s">
        <v>162</v>
      </c>
      <c r="R44" s="188" t="s">
        <v>161</v>
      </c>
    </row>
    <row r="45" spans="2:18">
      <c r="B45" s="200">
        <v>33</v>
      </c>
      <c r="C45" s="200"/>
      <c r="D45" s="198" t="s">
        <v>160</v>
      </c>
      <c r="E45" s="197" t="s">
        <v>156</v>
      </c>
      <c r="F45" s="197">
        <v>2</v>
      </c>
      <c r="G45" s="197" t="s">
        <v>159</v>
      </c>
      <c r="H45" s="196" t="s">
        <v>158</v>
      </c>
      <c r="I45" s="195"/>
      <c r="K45" s="193">
        <v>2</v>
      </c>
      <c r="L45" s="193">
        <v>9</v>
      </c>
      <c r="M45" s="193" t="s">
        <v>153</v>
      </c>
      <c r="N45" s="194">
        <v>9</v>
      </c>
      <c r="O45" s="194">
        <v>4</v>
      </c>
      <c r="P45" s="193" t="s">
        <v>152</v>
      </c>
    </row>
    <row r="46" spans="2:18">
      <c r="B46" s="200">
        <v>34</v>
      </c>
      <c r="C46" s="199"/>
      <c r="D46" s="198" t="s">
        <v>157</v>
      </c>
      <c r="E46" s="197" t="s">
        <v>156</v>
      </c>
      <c r="F46" s="197">
        <v>2</v>
      </c>
      <c r="G46" s="197" t="s">
        <v>155</v>
      </c>
      <c r="H46" s="196" t="s">
        <v>154</v>
      </c>
      <c r="I46" s="195"/>
      <c r="K46" s="193">
        <v>2</v>
      </c>
      <c r="L46" s="193">
        <v>9</v>
      </c>
      <c r="M46" s="193" t="s">
        <v>153</v>
      </c>
      <c r="N46" s="194">
        <v>9</v>
      </c>
      <c r="O46" s="194">
        <v>4</v>
      </c>
      <c r="P46" s="193" t="s">
        <v>152</v>
      </c>
    </row>
    <row r="47" spans="2:18" ht="69.75" customHeight="1">
      <c r="B47" s="200">
        <v>35</v>
      </c>
      <c r="C47" s="200"/>
      <c r="D47" s="198" t="s">
        <v>151</v>
      </c>
      <c r="E47" s="197" t="s">
        <v>136</v>
      </c>
      <c r="F47" s="197">
        <v>20</v>
      </c>
      <c r="G47" s="197" t="s">
        <v>150</v>
      </c>
      <c r="H47" s="204" t="s">
        <v>149</v>
      </c>
      <c r="I47" s="203"/>
      <c r="K47" s="193">
        <v>2</v>
      </c>
      <c r="L47" s="193">
        <v>10</v>
      </c>
      <c r="M47" s="193" t="s">
        <v>148</v>
      </c>
      <c r="N47" s="194">
        <v>9</v>
      </c>
      <c r="O47" s="194">
        <v>2</v>
      </c>
      <c r="P47" s="193" t="s">
        <v>147</v>
      </c>
    </row>
    <row r="48" spans="2:18" ht="57.65" customHeight="1">
      <c r="B48" s="200">
        <v>36</v>
      </c>
      <c r="C48" s="199" t="s">
        <v>146</v>
      </c>
      <c r="D48" s="198" t="s">
        <v>145</v>
      </c>
      <c r="E48" s="197" t="s">
        <v>136</v>
      </c>
      <c r="F48" s="197" t="s">
        <v>144</v>
      </c>
      <c r="G48" s="202" t="s">
        <v>143</v>
      </c>
      <c r="H48" s="196" t="s">
        <v>142</v>
      </c>
      <c r="I48" s="195"/>
      <c r="K48" s="193">
        <v>2</v>
      </c>
      <c r="L48" s="193">
        <v>6</v>
      </c>
      <c r="M48" s="193" t="s">
        <v>141</v>
      </c>
      <c r="N48" s="194">
        <v>9</v>
      </c>
      <c r="O48" s="201">
        <v>12</v>
      </c>
      <c r="P48" s="193"/>
    </row>
    <row r="49" spans="2:16">
      <c r="B49" s="200">
        <v>37</v>
      </c>
      <c r="C49" s="200"/>
      <c r="D49" s="198" t="s">
        <v>495</v>
      </c>
      <c r="E49" s="197" t="s">
        <v>136</v>
      </c>
      <c r="F49" s="197">
        <v>11</v>
      </c>
      <c r="G49" s="197" t="s">
        <v>140</v>
      </c>
      <c r="H49" s="196" t="s">
        <v>139</v>
      </c>
      <c r="I49" s="195"/>
      <c r="K49" s="193"/>
      <c r="L49" s="193"/>
      <c r="M49" s="193"/>
      <c r="N49" s="194"/>
      <c r="O49" s="194"/>
      <c r="P49" s="193"/>
    </row>
    <row r="50" spans="2:16">
      <c r="B50" s="200">
        <v>38</v>
      </c>
      <c r="C50" s="199"/>
      <c r="D50" s="198" t="s">
        <v>493</v>
      </c>
      <c r="E50" s="197" t="s">
        <v>136</v>
      </c>
      <c r="F50" s="197">
        <v>1</v>
      </c>
      <c r="G50" s="197" t="s">
        <v>138</v>
      </c>
      <c r="H50" s="196" t="s">
        <v>137</v>
      </c>
      <c r="I50" s="195"/>
      <c r="K50" s="193"/>
      <c r="L50" s="193"/>
      <c r="M50" s="193"/>
      <c r="N50" s="194"/>
      <c r="O50" s="194"/>
      <c r="P50" s="193"/>
    </row>
    <row r="51" spans="2:16">
      <c r="B51" s="200">
        <v>39</v>
      </c>
      <c r="C51" s="199"/>
      <c r="D51" s="198" t="s">
        <v>494</v>
      </c>
      <c r="E51" s="197" t="s">
        <v>136</v>
      </c>
      <c r="F51" s="197">
        <v>1</v>
      </c>
      <c r="G51" s="197" t="s">
        <v>135</v>
      </c>
      <c r="H51" s="196" t="s">
        <v>134</v>
      </c>
      <c r="I51" s="195"/>
      <c r="K51" s="193"/>
      <c r="L51" s="193"/>
      <c r="M51" s="193"/>
      <c r="N51" s="194"/>
      <c r="O51" s="194"/>
      <c r="P51" s="193"/>
    </row>
    <row r="53" spans="2:16">
      <c r="B53" s="192" t="s">
        <v>133</v>
      </c>
      <c r="C53" s="192"/>
      <c r="D53" s="192"/>
      <c r="E53" s="192"/>
      <c r="F53" s="192"/>
      <c r="G53" s="192"/>
      <c r="H53" s="192"/>
      <c r="I53" s="192"/>
    </row>
    <row r="54" spans="2:16">
      <c r="B54" s="192" t="s">
        <v>132</v>
      </c>
      <c r="C54" s="192"/>
      <c r="D54" s="192"/>
      <c r="E54" s="192"/>
      <c r="F54" s="192"/>
      <c r="G54" s="192"/>
      <c r="H54" s="192"/>
      <c r="I54" s="192"/>
    </row>
    <row r="55" spans="2:16">
      <c r="B55" s="192" t="s">
        <v>131</v>
      </c>
      <c r="C55" s="192"/>
      <c r="D55" s="192"/>
      <c r="E55" s="192"/>
      <c r="F55" s="192"/>
      <c r="G55" s="192"/>
      <c r="H55" s="192"/>
      <c r="I55" s="192"/>
    </row>
    <row r="56" spans="2:16">
      <c r="B56" s="445" t="s">
        <v>130</v>
      </c>
      <c r="C56" s="445"/>
      <c r="D56" s="445"/>
      <c r="E56" s="445"/>
      <c r="F56" s="445"/>
      <c r="G56" s="445"/>
      <c r="H56" s="191"/>
      <c r="I56" s="191"/>
    </row>
    <row r="57" spans="2:16">
      <c r="B57" s="190" t="s">
        <v>129</v>
      </c>
      <c r="C57" s="190"/>
      <c r="D57" s="190"/>
      <c r="E57" s="190"/>
      <c r="F57" s="190"/>
      <c r="G57" s="190"/>
      <c r="H57" s="190"/>
      <c r="I57" s="190"/>
    </row>
  </sheetData>
  <mergeCells count="3">
    <mergeCell ref="C37:C38"/>
    <mergeCell ref="G37:G38"/>
    <mergeCell ref="B56:G56"/>
  </mergeCells>
  <phoneticPr fontId="4"/>
  <dataValidations count="1">
    <dataValidation type="list" allowBlank="1" showInputMessage="1" showErrorMessage="1" sqref="C13:C51" xr:uid="{0C57F829-D013-4235-9550-10ABF7F33F33}">
      <formula1>"　,✔"</formula1>
    </dataValidation>
  </dataValidations>
  <pageMargins left="0.7" right="0.7" top="0.75" bottom="0.75" header="0.3" footer="0.3"/>
  <pageSetup paperSize="8" scale="6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334F-F290-4C0E-B295-0EBBC7B8FBD5}">
  <sheetPr>
    <tabColor theme="0" tint="-0.499984740745262"/>
  </sheetPr>
  <dimension ref="A1:A3"/>
  <sheetViews>
    <sheetView showGridLines="0" zoomScaleNormal="100" workbookViewId="0"/>
  </sheetViews>
  <sheetFormatPr defaultRowHeight="13"/>
  <sheetData>
    <row r="1" spans="1:1">
      <c r="A1" t="s">
        <v>290</v>
      </c>
    </row>
    <row r="2" spans="1:1">
      <c r="A2" t="s">
        <v>296</v>
      </c>
    </row>
    <row r="3" spans="1:1">
      <c r="A3" s="114"/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M51"/>
  <sheetViews>
    <sheetView showGridLines="0" view="pageBreakPreview" zoomScaleNormal="100" zoomScaleSheetLayoutView="100" workbookViewId="0"/>
  </sheetViews>
  <sheetFormatPr defaultColWidth="9" defaultRowHeight="13"/>
  <cols>
    <col min="1" max="1" width="14.08984375" customWidth="1"/>
    <col min="2" max="2" width="2.6328125" customWidth="1"/>
    <col min="3" max="3" width="14.08984375" customWidth="1"/>
    <col min="4" max="4" width="2.6328125" customWidth="1"/>
    <col min="5" max="5" width="14.08984375" customWidth="1"/>
    <col min="6" max="6" width="2.6328125" customWidth="1"/>
    <col min="7" max="7" width="14.08984375" customWidth="1"/>
    <col min="8" max="8" width="2.6328125" customWidth="1"/>
    <col min="9" max="9" width="14.08984375" customWidth="1"/>
    <col min="10" max="10" width="2.6328125" customWidth="1"/>
    <col min="11" max="11" width="14.08984375" customWidth="1"/>
    <col min="12" max="12" width="2.6328125" customWidth="1"/>
    <col min="13" max="13" width="14.08984375" customWidth="1"/>
  </cols>
  <sheetData>
    <row r="1" spans="1:13">
      <c r="A1" s="14" t="s">
        <v>73</v>
      </c>
      <c r="C1" s="14" t="s">
        <v>74</v>
      </c>
      <c r="E1" s="14" t="s">
        <v>75</v>
      </c>
      <c r="G1" s="14"/>
      <c r="I1" s="14"/>
      <c r="K1" s="14"/>
      <c r="M1" s="14"/>
    </row>
    <row r="2" spans="1:13">
      <c r="A2" s="15" t="s">
        <v>76</v>
      </c>
      <c r="C2" s="15" t="s">
        <v>45</v>
      </c>
      <c r="E2" s="15" t="s">
        <v>50</v>
      </c>
      <c r="G2" s="15"/>
      <c r="I2" s="15"/>
      <c r="K2" s="15"/>
      <c r="M2" s="15"/>
    </row>
    <row r="3" spans="1:13">
      <c r="A3" s="15" t="s">
        <v>77</v>
      </c>
      <c r="C3" s="15" t="s">
        <v>49</v>
      </c>
      <c r="E3" s="15" t="s">
        <v>46</v>
      </c>
      <c r="G3" s="15"/>
      <c r="I3" s="15"/>
      <c r="K3" s="15"/>
      <c r="M3" s="15"/>
    </row>
    <row r="4" spans="1:13">
      <c r="A4" s="15" t="s">
        <v>78</v>
      </c>
      <c r="C4" s="15" t="s">
        <v>47</v>
      </c>
      <c r="E4" s="15"/>
      <c r="G4" s="15"/>
      <c r="I4" s="15"/>
      <c r="K4" s="15"/>
      <c r="M4" s="15"/>
    </row>
    <row r="5" spans="1:13">
      <c r="A5" s="15"/>
      <c r="C5" s="15" t="s">
        <v>79</v>
      </c>
      <c r="E5" s="15"/>
      <c r="G5" s="15"/>
      <c r="I5" s="15"/>
      <c r="K5" s="15"/>
      <c r="M5" s="15"/>
    </row>
    <row r="6" spans="1:13">
      <c r="A6" s="15"/>
      <c r="C6" s="15" t="s">
        <v>80</v>
      </c>
      <c r="E6" s="15"/>
      <c r="G6" s="15"/>
      <c r="I6" s="15"/>
      <c r="K6" s="15"/>
      <c r="M6" s="15"/>
    </row>
    <row r="7" spans="1:13">
      <c r="A7" s="15"/>
      <c r="C7" s="15" t="s">
        <v>81</v>
      </c>
      <c r="E7" s="15"/>
      <c r="G7" s="15"/>
      <c r="I7" s="15"/>
      <c r="K7" s="15"/>
      <c r="M7" s="15"/>
    </row>
    <row r="8" spans="1:13">
      <c r="A8" s="15"/>
      <c r="C8" s="15" t="s">
        <v>82</v>
      </c>
      <c r="E8" s="15"/>
      <c r="G8" s="15"/>
      <c r="I8" s="15"/>
      <c r="K8" s="15"/>
      <c r="M8" s="15"/>
    </row>
    <row r="9" spans="1:13">
      <c r="A9" s="15"/>
      <c r="C9" s="15" t="s">
        <v>83</v>
      </c>
      <c r="E9" s="15"/>
      <c r="G9" s="15"/>
      <c r="I9" s="15"/>
      <c r="K9" s="15"/>
      <c r="M9" s="15"/>
    </row>
    <row r="10" spans="1:13">
      <c r="A10" s="15"/>
      <c r="C10" s="15" t="s">
        <v>84</v>
      </c>
      <c r="E10" s="15"/>
      <c r="G10" s="15"/>
      <c r="I10" s="15"/>
      <c r="K10" s="15"/>
      <c r="M10" s="15"/>
    </row>
    <row r="11" spans="1:13">
      <c r="A11" s="15"/>
      <c r="C11" s="15" t="s">
        <v>85</v>
      </c>
      <c r="E11" s="15"/>
      <c r="G11" s="15"/>
      <c r="I11" s="15"/>
      <c r="K11" s="15"/>
      <c r="M11" s="15"/>
    </row>
    <row r="12" spans="1:13">
      <c r="A12" s="15"/>
      <c r="C12" s="15" t="s">
        <v>86</v>
      </c>
      <c r="E12" s="15"/>
      <c r="G12" s="15"/>
      <c r="I12" s="15"/>
      <c r="K12" s="15"/>
      <c r="M12" s="15"/>
    </row>
    <row r="13" spans="1:13">
      <c r="A13" s="15"/>
      <c r="C13" s="15" t="s">
        <v>87</v>
      </c>
      <c r="E13" s="15"/>
      <c r="G13" s="15"/>
      <c r="I13" s="15"/>
      <c r="K13" s="15"/>
      <c r="M13" s="15"/>
    </row>
    <row r="14" spans="1:13">
      <c r="A14" s="15"/>
      <c r="C14" s="15"/>
      <c r="E14" s="15"/>
      <c r="G14" s="15"/>
      <c r="I14" s="15"/>
      <c r="K14" s="15"/>
      <c r="M14" s="15"/>
    </row>
    <row r="15" spans="1:13">
      <c r="A15" s="15"/>
      <c r="C15" s="15"/>
      <c r="E15" s="15"/>
      <c r="G15" s="15"/>
      <c r="I15" s="15"/>
      <c r="K15" s="15"/>
      <c r="M15" s="15"/>
    </row>
    <row r="16" spans="1:13">
      <c r="A16" s="15"/>
      <c r="C16" s="15"/>
      <c r="E16" s="15"/>
      <c r="G16" s="15"/>
      <c r="I16" s="15"/>
      <c r="K16" s="15"/>
      <c r="M16" s="15"/>
    </row>
    <row r="17" spans="1:13">
      <c r="A17" s="15"/>
      <c r="C17" s="15"/>
      <c r="E17" s="15"/>
      <c r="G17" s="15"/>
      <c r="I17" s="15"/>
      <c r="K17" s="15"/>
      <c r="M17" s="15"/>
    </row>
    <row r="18" spans="1:13">
      <c r="A18" s="15"/>
      <c r="C18" s="15"/>
      <c r="E18" s="15"/>
      <c r="G18" s="15"/>
      <c r="I18" s="15"/>
      <c r="K18" s="15"/>
      <c r="M18" s="15"/>
    </row>
    <row r="19" spans="1:13">
      <c r="A19" s="15"/>
      <c r="C19" s="15"/>
      <c r="E19" s="15"/>
      <c r="G19" s="15"/>
      <c r="I19" s="15"/>
      <c r="K19" s="15"/>
      <c r="M19" s="15"/>
    </row>
    <row r="20" spans="1:13">
      <c r="A20" s="15"/>
      <c r="C20" s="15"/>
      <c r="E20" s="15"/>
      <c r="G20" s="15"/>
      <c r="I20" s="15"/>
      <c r="K20" s="15"/>
      <c r="M20" s="15"/>
    </row>
    <row r="21" spans="1:13">
      <c r="A21" s="15"/>
      <c r="C21" s="15"/>
      <c r="E21" s="15"/>
      <c r="G21" s="15"/>
      <c r="I21" s="15"/>
      <c r="K21" s="15"/>
      <c r="M21" s="15"/>
    </row>
    <row r="22" spans="1:13">
      <c r="A22" s="15"/>
      <c r="C22" s="15"/>
      <c r="E22" s="15"/>
      <c r="G22" s="15"/>
      <c r="I22" s="15"/>
      <c r="K22" s="15"/>
      <c r="M22" s="15"/>
    </row>
    <row r="23" spans="1:13">
      <c r="A23" s="15"/>
      <c r="C23" s="15"/>
      <c r="E23" s="15"/>
      <c r="G23" s="15"/>
      <c r="I23" s="15"/>
      <c r="K23" s="15"/>
      <c r="M23" s="15"/>
    </row>
    <row r="24" spans="1:13">
      <c r="A24" s="15"/>
      <c r="C24" s="15"/>
      <c r="E24" s="15"/>
      <c r="G24" s="15"/>
      <c r="I24" s="15"/>
      <c r="K24" s="15"/>
      <c r="M24" s="15"/>
    </row>
    <row r="25" spans="1:13">
      <c r="A25" s="15"/>
      <c r="C25" s="15"/>
      <c r="E25" s="15"/>
      <c r="G25" s="15"/>
      <c r="I25" s="15"/>
      <c r="K25" s="15"/>
      <c r="M25" s="15"/>
    </row>
    <row r="26" spans="1:13">
      <c r="A26" s="15"/>
      <c r="C26" s="15"/>
      <c r="E26" s="15"/>
      <c r="G26" s="15"/>
      <c r="I26" s="15"/>
      <c r="K26" s="15"/>
      <c r="M26" s="15"/>
    </row>
    <row r="27" spans="1:13">
      <c r="A27" s="15"/>
      <c r="C27" s="15"/>
      <c r="E27" s="15"/>
      <c r="G27" s="15"/>
      <c r="I27" s="15"/>
      <c r="K27" s="15"/>
      <c r="M27" s="15"/>
    </row>
    <row r="28" spans="1:13">
      <c r="A28" s="15"/>
      <c r="C28" s="15"/>
      <c r="E28" s="15"/>
      <c r="G28" s="15"/>
      <c r="I28" s="15"/>
      <c r="K28" s="15"/>
      <c r="M28" s="15"/>
    </row>
    <row r="29" spans="1:13">
      <c r="A29" s="15"/>
      <c r="C29" s="15"/>
      <c r="E29" s="15"/>
      <c r="G29" s="15"/>
      <c r="I29" s="15"/>
      <c r="K29" s="15"/>
      <c r="M29" s="15"/>
    </row>
    <row r="30" spans="1:13">
      <c r="A30" s="15"/>
      <c r="C30" s="15"/>
      <c r="E30" s="15"/>
      <c r="G30" s="15"/>
      <c r="I30" s="15"/>
      <c r="K30" s="15"/>
      <c r="M30" s="15"/>
    </row>
    <row r="31" spans="1:13">
      <c r="A31" s="15"/>
      <c r="C31" s="15"/>
      <c r="E31" s="15"/>
      <c r="G31" s="15"/>
      <c r="I31" s="15"/>
      <c r="K31" s="15"/>
      <c r="M31" s="15"/>
    </row>
    <row r="32" spans="1:13">
      <c r="A32" s="15"/>
      <c r="C32" s="15"/>
      <c r="E32" s="15"/>
      <c r="G32" s="15"/>
      <c r="I32" s="15"/>
      <c r="K32" s="15"/>
      <c r="M32" s="15"/>
    </row>
    <row r="33" spans="1:13">
      <c r="A33" s="15"/>
      <c r="C33" s="15"/>
      <c r="E33" s="15"/>
      <c r="G33" s="15"/>
      <c r="I33" s="15"/>
      <c r="K33" s="15"/>
      <c r="M33" s="15"/>
    </row>
    <row r="34" spans="1:13">
      <c r="A34" s="15"/>
      <c r="C34" s="15"/>
      <c r="E34" s="15"/>
      <c r="G34" s="15"/>
      <c r="I34" s="15"/>
      <c r="K34" s="15"/>
      <c r="M34" s="15"/>
    </row>
    <row r="35" spans="1:13">
      <c r="A35" s="15"/>
      <c r="C35" s="15"/>
      <c r="E35" s="15"/>
      <c r="G35" s="15"/>
      <c r="I35" s="15"/>
      <c r="K35" s="15"/>
      <c r="M35" s="15"/>
    </row>
    <row r="36" spans="1:13">
      <c r="A36" s="15"/>
      <c r="C36" s="15"/>
      <c r="E36" s="15"/>
      <c r="G36" s="15"/>
      <c r="I36" s="15"/>
      <c r="K36" s="15"/>
      <c r="M36" s="15"/>
    </row>
    <row r="37" spans="1:13">
      <c r="A37" s="15"/>
      <c r="C37" s="15"/>
      <c r="E37" s="15"/>
      <c r="G37" s="15"/>
      <c r="I37" s="15"/>
      <c r="K37" s="15"/>
      <c r="M37" s="15"/>
    </row>
    <row r="38" spans="1:13">
      <c r="A38" s="15"/>
      <c r="C38" s="15"/>
      <c r="E38" s="15"/>
      <c r="G38" s="15"/>
      <c r="I38" s="15"/>
      <c r="K38" s="15"/>
      <c r="M38" s="15"/>
    </row>
    <row r="39" spans="1:13">
      <c r="A39" s="15"/>
      <c r="C39" s="15"/>
      <c r="E39" s="15"/>
      <c r="G39" s="15"/>
      <c r="I39" s="15"/>
      <c r="K39" s="15"/>
      <c r="M39" s="15"/>
    </row>
    <row r="40" spans="1:13">
      <c r="A40" s="15"/>
      <c r="C40" s="15"/>
      <c r="E40" s="15"/>
      <c r="G40" s="15"/>
      <c r="I40" s="15"/>
      <c r="K40" s="15"/>
      <c r="M40" s="15"/>
    </row>
    <row r="41" spans="1:13">
      <c r="A41" s="15"/>
      <c r="C41" s="15"/>
      <c r="E41" s="15"/>
      <c r="G41" s="15"/>
      <c r="I41" s="15"/>
      <c r="K41" s="15"/>
      <c r="M41" s="15"/>
    </row>
    <row r="42" spans="1:13">
      <c r="A42" s="15"/>
      <c r="C42" s="15"/>
      <c r="E42" s="15"/>
      <c r="G42" s="15"/>
      <c r="I42" s="15"/>
      <c r="K42" s="15"/>
      <c r="M42" s="15"/>
    </row>
    <row r="43" spans="1:13">
      <c r="A43" s="15"/>
      <c r="C43" s="15"/>
      <c r="E43" s="15"/>
      <c r="G43" s="15"/>
      <c r="I43" s="15"/>
      <c r="K43" s="15"/>
      <c r="M43" s="15"/>
    </row>
    <row r="44" spans="1:13">
      <c r="A44" s="15"/>
      <c r="C44" s="15"/>
      <c r="E44" s="15"/>
      <c r="G44" s="15"/>
      <c r="I44" s="15"/>
      <c r="K44" s="15"/>
      <c r="M44" s="15"/>
    </row>
    <row r="45" spans="1:13">
      <c r="A45" s="15"/>
      <c r="C45" s="15"/>
      <c r="E45" s="15"/>
      <c r="G45" s="15"/>
      <c r="I45" s="15"/>
      <c r="K45" s="15"/>
      <c r="M45" s="15"/>
    </row>
    <row r="46" spans="1:13">
      <c r="A46" s="15"/>
      <c r="C46" s="15"/>
      <c r="E46" s="15"/>
      <c r="G46" s="15"/>
      <c r="I46" s="15"/>
      <c r="K46" s="15"/>
      <c r="M46" s="15"/>
    </row>
    <row r="47" spans="1:13">
      <c r="A47" s="15"/>
      <c r="C47" s="15"/>
      <c r="E47" s="15"/>
      <c r="G47" s="15"/>
      <c r="I47" s="15"/>
      <c r="K47" s="15"/>
      <c r="M47" s="15"/>
    </row>
    <row r="48" spans="1:13">
      <c r="A48" s="15"/>
      <c r="C48" s="15"/>
      <c r="E48" s="15"/>
      <c r="G48" s="15"/>
      <c r="I48" s="15"/>
      <c r="K48" s="15"/>
      <c r="M48" s="15"/>
    </row>
    <row r="49" spans="1:13">
      <c r="A49" s="15"/>
      <c r="C49" s="15"/>
      <c r="E49" s="15"/>
      <c r="G49" s="15"/>
      <c r="I49" s="15"/>
      <c r="K49" s="15"/>
      <c r="M49" s="15"/>
    </row>
    <row r="50" spans="1:13">
      <c r="A50" s="15"/>
      <c r="C50" s="15"/>
      <c r="E50" s="15"/>
      <c r="G50" s="15"/>
      <c r="I50" s="15"/>
      <c r="K50" s="15"/>
      <c r="M50" s="15"/>
    </row>
    <row r="51" spans="1:13">
      <c r="A51" s="15"/>
      <c r="C51" s="15"/>
      <c r="E51" s="15"/>
      <c r="G51" s="15"/>
      <c r="I51" s="15"/>
      <c r="K51" s="15"/>
      <c r="M51" s="15"/>
    </row>
  </sheetData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B00B0A94D749344A508733DD58D0C70" ma:contentTypeVersion="15" ma:contentTypeDescription="新しいドキュメントを作成します。" ma:contentTypeScope="" ma:versionID="8c3f1d17ea2e5238a05e2d27662e3f0e">
  <xsd:schema xmlns:xsd="http://www.w3.org/2001/XMLSchema" xmlns:xs="http://www.w3.org/2001/XMLSchema" xmlns:p="http://schemas.microsoft.com/office/2006/metadata/properties" xmlns:ns2="2caa798c-cc97-4746-9aca-2c78d851e5f4" xmlns:ns3="1ae042f5-4162-4f7a-b615-0b4d2a763035" targetNamespace="http://schemas.microsoft.com/office/2006/metadata/properties" ma:root="true" ma:fieldsID="a4561c3201898e916853d003e80a7458" ns2:_="" ns3:_="">
    <xsd:import namespace="2caa798c-cc97-4746-9aca-2c78d851e5f4"/>
    <xsd:import namespace="1ae042f5-4162-4f7a-b615-0b4d2a763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798c-cc97-4746-9aca-2c78d851e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42f5-4162-4f7a-b615-0b4d2a76303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ba98054-9f95-4bdf-8195-82fd7c26530a}" ma:internalName="TaxCatchAll" ma:showField="CatchAllData" ma:web="1ae042f5-4162-4f7a-b615-0b4d2a763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798c-cc97-4746-9aca-2c78d851e5f4">
      <Terms xmlns="http://schemas.microsoft.com/office/infopath/2007/PartnerControls"/>
    </lcf76f155ced4ddcb4097134ff3c332f>
    <TaxCatchAll xmlns="1ae042f5-4162-4f7a-b615-0b4d2a763035" xsi:nil="true"/>
  </documentManagement>
</p:properties>
</file>

<file path=customXml/itemProps1.xml><?xml version="1.0" encoding="utf-8"?>
<ds:datastoreItem xmlns:ds="http://schemas.openxmlformats.org/officeDocument/2006/customXml" ds:itemID="{AE931668-4BEE-4BB5-9F1E-B4417C1D9A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730058-EF31-4DFF-8181-29CC766EE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798c-cc97-4746-9aca-2c78d851e5f4"/>
    <ds:schemaRef ds:uri="1ae042f5-4162-4f7a-b615-0b4d2a763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A506D-B2BF-4A46-A807-A56F45878707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ae042f5-4162-4f7a-b615-0b4d2a763035"/>
    <ds:schemaRef ds:uri="http://schemas.microsoft.com/office/infopath/2007/PartnerControls"/>
    <ds:schemaRef ds:uri="http://purl.org/dc/terms/"/>
    <ds:schemaRef ds:uri="http://schemas.microsoft.com/office/2006/documentManagement/types"/>
    <ds:schemaRef ds:uri="2caa798c-cc97-4746-9aca-2c78d851e5f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8</vt:i4>
      </vt:variant>
    </vt:vector>
  </HeadingPairs>
  <TitlesOfParts>
    <vt:vector size="17" baseType="lpstr">
      <vt:lpstr>表紙</vt:lpstr>
      <vt:lpstr>更新履歴</vt:lpstr>
      <vt:lpstr>仕様概要</vt:lpstr>
      <vt:lpstr>【基本設計】マッピング</vt:lpstr>
      <vt:lpstr>設計概要</vt:lpstr>
      <vt:lpstr>マッピング定義</vt:lpstr>
      <vt:lpstr>岡山県貨物</vt:lpstr>
      <vt:lpstr>CSVイメージ</vt:lpstr>
      <vt:lpstr>選択リスト(非表示)</vt:lpstr>
      <vt:lpstr>マッピング定義!Print_Area</vt:lpstr>
      <vt:lpstr>岡山県貨物!Print_Area</vt:lpstr>
      <vt:lpstr>仕様概要!Print_Area</vt:lpstr>
      <vt:lpstr>設計概要!Print_Area</vt:lpstr>
      <vt:lpstr>表紙!Print_Area</vt:lpstr>
      <vt:lpstr>マッピング定義!Print_Titles</vt:lpstr>
      <vt:lpstr>仕様概要!Print_Titles</vt:lpstr>
      <vt:lpstr>設計概要!Print_Titles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2020-06-07T13:58:25Z</dcterms:created>
  <dcterms:modified xsi:type="dcterms:W3CDTF">2024-06-11T06:21:18Z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0c49d5ab-144a-4618-83df-368395d830e1</vt:lpwstr>
  </property>
  <property fmtid="{D5CDD505-2E9C-101B-9397-08002B2CF9AE}" pid="3" name="ContentTypeId">
    <vt:lpwstr>0x010100DB00B0A94D749344A508733DD58D0C70</vt:lpwstr>
  </property>
  <property fmtid="{D5CDD505-2E9C-101B-9397-08002B2CF9AE}" pid="4" name="MediaServiceImageTags">
    <vt:lpwstr/>
  </property>
</Properties>
</file>